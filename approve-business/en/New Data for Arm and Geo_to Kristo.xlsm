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chartsheets/sheet21.xml" ContentType="application/vnd.openxmlformats-officedocument.spreadsheetml.chartsheet+xml"/>
  <Override PartName="/xl/chartsheets/sheet22.xml" ContentType="application/vnd.openxmlformats-officedocument.spreadsheetml.chartsheet+xml"/>
  <Override PartName="/xl/chartsheets/sheet23.xml" ContentType="application/vnd.openxmlformats-officedocument.spreadsheetml.chartsheet+xml"/>
  <Override PartName="/xl/chartsheets/sheet24.xml" ContentType="application/vnd.openxmlformats-officedocument.spreadsheetml.chartsheet+xml"/>
  <Override PartName="/xl/chartsheets/sheet25.xml" ContentType="application/vnd.openxmlformats-officedocument.spreadsheetml.chartsheet+xml"/>
  <Override PartName="/xl/chartsheets/sheet26.xml" ContentType="application/vnd.openxmlformats-officedocument.spreadsheetml.chartsheet+xml"/>
  <Override PartName="/xl/chartsheets/sheet27.xml" ContentType="application/vnd.openxmlformats-officedocument.spreadsheetml.chartsheet+xml"/>
  <Override PartName="/xl/chartsheets/sheet28.xml" ContentType="application/vnd.openxmlformats-officedocument.spreadsheetml.chartsheet+xml"/>
  <Override PartName="/xl/chartsheets/sheet29.xml" ContentType="application/vnd.openxmlformats-officedocument.spreadsheetml.chartsheet+xml"/>
  <Override PartName="/xl/chartsheets/sheet30.xml" ContentType="application/vnd.openxmlformats-officedocument.spreadsheetml.chartsheet+xml"/>
  <Override PartName="/xl/chartsheets/sheet31.xml" ContentType="application/vnd.openxmlformats-officedocument.spreadsheetml.chartsheet+xml"/>
  <Override PartName="/xl/chartsheets/sheet3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9.xml" ContentType="application/vnd.openxmlformats-officedocument.drawing+xml"/>
  <Override PartName="/xl/charts/chart16.xml" ContentType="application/vnd.openxmlformats-officedocument.drawingml.chart+xml"/>
  <Override PartName="/xl/theme/themeOverride7.xml" ContentType="application/vnd.openxmlformats-officedocument.themeOverride+xml"/>
  <Override PartName="/xl/drawings/drawing20.xml" ContentType="application/vnd.openxmlformats-officedocument.drawingml.chartshapes+xml"/>
  <Override PartName="/xl/charts/chart17.xml" ContentType="application/vnd.openxmlformats-officedocument.drawingml.chart+xml"/>
  <Override PartName="/xl/theme/themeOverride8.xml" ContentType="application/vnd.openxmlformats-officedocument.themeOverrid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theme/themeOverride9.xml" ContentType="application/vnd.openxmlformats-officedocument.themeOverrid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theme/themeOverride10.xml" ContentType="application/vnd.openxmlformats-officedocument.themeOverrid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drawings/drawing27.xml" ContentType="application/vnd.openxmlformats-officedocument.drawingml.chartshapes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28.xml" ContentType="application/vnd.openxmlformats-officedocument.drawingml.chartshapes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drawings/drawing31.xml" ContentType="application/vnd.openxmlformats-officedocument.drawingml.chartshapes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drawings/drawing34.xml" ContentType="application/vnd.openxmlformats-officedocument.drawingml.chartshapes+xml"/>
  <Override PartName="/xl/charts/chart27.xml" ContentType="application/vnd.openxmlformats-officedocument.drawingml.chart+xml"/>
  <Override PartName="/xl/theme/themeOverride18.xml" ContentType="application/vnd.openxmlformats-officedocument.themeOverride+xml"/>
  <Override PartName="/xl/charts/chart28.xml" ContentType="application/vnd.openxmlformats-officedocument.drawingml.chart+xml"/>
  <Override PartName="/xl/theme/themeOverride19.xml" ContentType="application/vnd.openxmlformats-officedocument.themeOverride+xml"/>
  <Override PartName="/xl/drawings/drawing35.xml" ContentType="application/vnd.openxmlformats-officedocument.drawingml.chartshapes+xml"/>
  <Override PartName="/xl/charts/chart29.xml" ContentType="application/vnd.openxmlformats-officedocument.drawingml.chart+xml"/>
  <Override PartName="/xl/theme/themeOverride20.xml" ContentType="application/vnd.openxmlformats-officedocument.themeOverride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harts/chart30.xml" ContentType="application/vnd.openxmlformats-officedocument.drawingml.chart+xml"/>
  <Override PartName="/xl/theme/themeOverride21.xml" ContentType="application/vnd.openxmlformats-officedocument.themeOverride+xml"/>
  <Override PartName="/xl/drawings/drawing38.xml" ContentType="application/vnd.openxmlformats-officedocument.drawingml.chartshapes+xml"/>
  <Override PartName="/xl/charts/chart31.xml" ContentType="application/vnd.openxmlformats-officedocument.drawingml.chart+xml"/>
  <Override PartName="/xl/theme/themeOverride22.xml" ContentType="application/vnd.openxmlformats-officedocument.themeOverride+xml"/>
  <Override PartName="/xl/drawings/drawing39.xml" ContentType="application/vnd.openxmlformats-officedocument.drawingml.chartshapes+xml"/>
  <Override PartName="/xl/charts/chart32.xml" ContentType="application/vnd.openxmlformats-officedocument.drawingml.chart+xml"/>
  <Override PartName="/xl/theme/themeOverride23.xml" ContentType="application/vnd.openxmlformats-officedocument.themeOverride+xml"/>
  <Override PartName="/xl/drawings/drawing40.xml" ContentType="application/vnd.openxmlformats-officedocument.drawingml.chartshapes+xml"/>
  <Override PartName="/xl/charts/chart33.xml" ContentType="application/vnd.openxmlformats-officedocument.drawingml.chart+xml"/>
  <Override PartName="/xl/theme/themeOverride24.xml" ContentType="application/vnd.openxmlformats-officedocument.themeOverride+xml"/>
  <Override PartName="/xl/drawings/drawing41.xml" ContentType="application/vnd.openxmlformats-officedocument.drawingml.chartshapes+xml"/>
  <Override PartName="/xl/charts/chart34.xml" ContentType="application/vnd.openxmlformats-officedocument.drawingml.chart+xml"/>
  <Override PartName="/xl/theme/themeOverride25.xml" ContentType="application/vnd.openxmlformats-officedocument.themeOverride+xml"/>
  <Override PartName="/xl/drawings/drawing42.xml" ContentType="application/vnd.openxmlformats-officedocument.drawingml.chartshapes+xml"/>
  <Override PartName="/xl/charts/chart3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3.xml" ContentType="application/vnd.openxmlformats-officedocument.drawing+xml"/>
  <Override PartName="/xl/charts/chart36.xml" ContentType="application/vnd.openxmlformats-officedocument.drawingml.chart+xml"/>
  <Override PartName="/xl/theme/themeOverride26.xml" ContentType="application/vnd.openxmlformats-officedocument.themeOverride+xml"/>
  <Override PartName="/xl/drawings/drawing44.xml" ContentType="application/vnd.openxmlformats-officedocument.drawingml.chartshapes+xml"/>
  <Override PartName="/xl/charts/chart37.xml" ContentType="application/vnd.openxmlformats-officedocument.drawingml.chart+xml"/>
  <Override PartName="/xl/theme/themeOverride27.xml" ContentType="application/vnd.openxmlformats-officedocument.themeOverride+xml"/>
  <Override PartName="/xl/drawings/drawing45.xml" ContentType="application/vnd.openxmlformats-officedocument.drawingml.chartshapes+xml"/>
  <Override PartName="/xl/charts/chart38.xml" ContentType="application/vnd.openxmlformats-officedocument.drawingml.chart+xml"/>
  <Override PartName="/xl/theme/themeOverride28.xml" ContentType="application/vnd.openxmlformats-officedocument.themeOverride+xml"/>
  <Override PartName="/xl/drawings/drawing46.xml" ContentType="application/vnd.openxmlformats-officedocument.drawingml.chartshapes+xml"/>
  <Override PartName="/xl/charts/chart39.xml" ContentType="application/vnd.openxmlformats-officedocument.drawingml.chart+xml"/>
  <Override PartName="/xl/theme/themeOverride29.xml" ContentType="application/vnd.openxmlformats-officedocument.themeOverride+xml"/>
  <Override PartName="/xl/drawings/drawing47.xml" ContentType="application/vnd.openxmlformats-officedocument.drawingml.chartshapes+xml"/>
  <Override PartName="/xl/charts/chart40.xml" ContentType="application/vnd.openxmlformats-officedocument.drawingml.chart+xml"/>
  <Override PartName="/xl/theme/themeOverride30.xml" ContentType="application/vnd.openxmlformats-officedocument.themeOverride+xml"/>
  <Override PartName="/xl/drawings/drawing48.xml" ContentType="application/vnd.openxmlformats-officedocument.drawingml.chartshapes+xml"/>
  <Override PartName="/xl/charts/chart4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9.xml" ContentType="application/vnd.openxmlformats-officedocument.drawing+xml"/>
  <Override PartName="/xl/charts/chart42.xml" ContentType="application/vnd.openxmlformats-officedocument.drawingml.chart+xml"/>
  <Override PartName="/xl/theme/themeOverride31.xml" ContentType="application/vnd.openxmlformats-officedocument.themeOverrid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theme/themeOverride32.xml" ContentType="application/vnd.openxmlformats-officedocument.themeOverrid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theme/themeOverride33.xml" ContentType="application/vnd.openxmlformats-officedocument.themeOverrid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theme/themeOverride34.xml" ContentType="application/vnd.openxmlformats-officedocument.themeOverride+xml"/>
  <Override PartName="/xl/drawings/drawing53.xml" ContentType="application/vnd.openxmlformats-officedocument.drawingml.chartshapes+xml"/>
  <Override PartName="/xl/charts/chart46.xml" ContentType="application/vnd.openxmlformats-officedocument.drawingml.chart+xml"/>
  <Override PartName="/xl/theme/themeOverride35.xml" ContentType="application/vnd.openxmlformats-officedocument.themeOverride+xml"/>
  <Override PartName="/xl/drawings/drawing54.xml" ContentType="application/vnd.openxmlformats-officedocument.drawingml.chartshapes+xml"/>
  <Override PartName="/xl/charts/chart4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5.xml" ContentType="application/vnd.openxmlformats-officedocument.drawing+xml"/>
  <Override PartName="/xl/charts/chart48.xml" ContentType="application/vnd.openxmlformats-officedocument.drawingml.chart+xml"/>
  <Override PartName="/xl/theme/themeOverride36.xml" ContentType="application/vnd.openxmlformats-officedocument.themeOverride+xml"/>
  <Override PartName="/xl/drawings/drawing56.xml" ContentType="application/vnd.openxmlformats-officedocument.drawing+xml"/>
  <Override PartName="/xl/charts/chart49.xml" ContentType="application/vnd.openxmlformats-officedocument.drawingml.chart+xml"/>
  <Override PartName="/xl/theme/themeOverride37.xml" ContentType="application/vnd.openxmlformats-officedocument.themeOverride+xml"/>
  <Override PartName="/xl/drawings/drawing57.xml" ContentType="application/vnd.openxmlformats-officedocument.drawingml.chartshapes+xml"/>
  <Override PartName="/xl/charts/chart50.xml" ContentType="application/vnd.openxmlformats-officedocument.drawingml.chart+xml"/>
  <Override PartName="/xl/theme/themeOverride38.xml" ContentType="application/vnd.openxmlformats-officedocument.themeOverride+xml"/>
  <Override PartName="/xl/drawings/drawing58.xml" ContentType="application/vnd.openxmlformats-officedocument.drawingml.chartshapes+xml"/>
  <Override PartName="/xl/charts/chart51.xml" ContentType="application/vnd.openxmlformats-officedocument.drawingml.chart+xml"/>
  <Override PartName="/xl/theme/themeOverride39.xml" ContentType="application/vnd.openxmlformats-officedocument.themeOverride+xml"/>
  <Override PartName="/xl/drawings/drawing59.xml" ContentType="application/vnd.openxmlformats-officedocument.drawingml.chartshapes+xml"/>
  <Override PartName="/xl/charts/chart52.xml" ContentType="application/vnd.openxmlformats-officedocument.drawingml.chart+xml"/>
  <Override PartName="/xl/theme/themeOverride40.xml" ContentType="application/vnd.openxmlformats-officedocument.themeOverride+xml"/>
  <Override PartName="/xl/drawings/drawing60.xml" ContentType="application/vnd.openxmlformats-officedocument.drawingml.chartshapes+xml"/>
  <Override PartName="/xl/charts/chart53.xml" ContentType="application/vnd.openxmlformats-officedocument.drawingml.chart+xml"/>
  <Override PartName="/xl/theme/themeOverride41.xml" ContentType="application/vnd.openxmlformats-officedocument.themeOverride+xml"/>
  <Override PartName="/xl/drawings/drawing61.xml" ContentType="application/vnd.openxmlformats-officedocument.drawingml.chartshapes+xml"/>
  <Override PartName="/xl/charts/chart5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2.xml" ContentType="application/vnd.openxmlformats-officedocument.drawing+xml"/>
  <Override PartName="/xl/charts/chart55.xml" ContentType="application/vnd.openxmlformats-officedocument.drawingml.chart+xml"/>
  <Override PartName="/xl/theme/themeOverride42.xml" ContentType="application/vnd.openxmlformats-officedocument.themeOverride+xml"/>
  <Override PartName="/xl/drawings/drawing63.xml" ContentType="application/vnd.openxmlformats-officedocument.drawingml.chartshapes+xml"/>
  <Override PartName="/xl/charts/chart56.xml" ContentType="application/vnd.openxmlformats-officedocument.drawingml.chart+xml"/>
  <Override PartName="/xl/theme/themeOverride43.xml" ContentType="application/vnd.openxmlformats-officedocument.themeOverride+xml"/>
  <Override PartName="/xl/drawings/drawing64.xml" ContentType="application/vnd.openxmlformats-officedocument.drawingml.chartshapes+xml"/>
  <Override PartName="/xl/charts/chart57.xml" ContentType="application/vnd.openxmlformats-officedocument.drawingml.chart+xml"/>
  <Override PartName="/xl/theme/themeOverride44.xml" ContentType="application/vnd.openxmlformats-officedocument.themeOverride+xml"/>
  <Override PartName="/xl/drawings/drawing65.xml" ContentType="application/vnd.openxmlformats-officedocument.drawingml.chartshapes+xml"/>
  <Override PartName="/xl/charts/chart58.xml" ContentType="application/vnd.openxmlformats-officedocument.drawingml.chart+xml"/>
  <Override PartName="/xl/theme/themeOverride45.xml" ContentType="application/vnd.openxmlformats-officedocument.themeOverride+xml"/>
  <Override PartName="/xl/drawings/drawing66.xml" ContentType="application/vnd.openxmlformats-officedocument.drawingml.chartshapes+xml"/>
  <Override PartName="/xl/charts/chart59.xml" ContentType="application/vnd.openxmlformats-officedocument.drawingml.chart+xml"/>
  <Override PartName="/xl/theme/themeOverride46.xml" ContentType="application/vnd.openxmlformats-officedocument.themeOverride+xml"/>
  <Override PartName="/xl/drawings/drawing67.xml" ContentType="application/vnd.openxmlformats-officedocument.drawingml.chartshapes+xml"/>
  <Override PartName="/xl/charts/chart6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8.xml" ContentType="application/vnd.openxmlformats-officedocument.drawing+xml"/>
  <Override PartName="/xl/charts/chart61.xml" ContentType="application/vnd.openxmlformats-officedocument.drawingml.chart+xml"/>
  <Override PartName="/xl/theme/themeOverride47.xml" ContentType="application/vnd.openxmlformats-officedocument.themeOverride+xml"/>
  <Override PartName="/xl/drawings/drawing69.xml" ContentType="application/vnd.openxmlformats-officedocument.drawingml.chartshapes+xml"/>
  <Override PartName="/xl/charts/chart62.xml" ContentType="application/vnd.openxmlformats-officedocument.drawingml.chart+xml"/>
  <Override PartName="/xl/theme/themeOverride48.xml" ContentType="application/vnd.openxmlformats-officedocument.themeOverride+xml"/>
  <Override PartName="/xl/drawings/drawing70.xml" ContentType="application/vnd.openxmlformats-officedocument.drawing+xml"/>
  <Override PartName="/xl/charts/chart63.xml" ContentType="application/vnd.openxmlformats-officedocument.drawingml.chart+xml"/>
  <Override PartName="/xl/theme/themeOverride49.xml" ContentType="application/vnd.openxmlformats-officedocument.themeOverride+xml"/>
  <Override PartName="/xl/drawings/drawing71.xml" ContentType="application/vnd.openxmlformats-officedocument.drawingml.chartshapes+xml"/>
  <Override PartName="/xl/charts/chart64.xml" ContentType="application/vnd.openxmlformats-officedocument.drawingml.chart+xml"/>
  <Override PartName="/xl/theme/themeOverride50.xml" ContentType="application/vnd.openxmlformats-officedocument.themeOverride+xml"/>
  <Override PartName="/xl/drawings/drawing72.xml" ContentType="application/vnd.openxmlformats-officedocument.drawingml.chartshapes+xml"/>
  <Override PartName="/xl/charts/chart65.xml" ContentType="application/vnd.openxmlformats-officedocument.drawingml.chart+xml"/>
  <Override PartName="/xl/theme/themeOverride51.xml" ContentType="application/vnd.openxmlformats-officedocument.themeOverride+xml"/>
  <Override PartName="/xl/drawings/drawing73.xml" ContentType="application/vnd.openxmlformats-officedocument.drawingml.chartshapes+xml"/>
  <Override PartName="/xl/charts/chart66.xml" ContentType="application/vnd.openxmlformats-officedocument.drawingml.chart+xml"/>
  <Override PartName="/xl/theme/themeOverride52.xml" ContentType="application/vnd.openxmlformats-officedocument.themeOverride+xml"/>
  <Override PartName="/xl/drawings/drawing74.xml" ContentType="application/vnd.openxmlformats-officedocument.drawingml.chartshapes+xml"/>
  <Override PartName="/xl/charts/chart67.xml" ContentType="application/vnd.openxmlformats-officedocument.drawingml.chart+xml"/>
  <Override PartName="/xl/theme/themeOverride53.xml" ContentType="application/vnd.openxmlformats-officedocument.themeOverride+xml"/>
  <Override PartName="/xl/drawings/drawing75.xml" ContentType="application/vnd.openxmlformats-officedocument.drawingml.chartshapes+xml"/>
  <Override PartName="/xl/charts/chart6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6.xml" ContentType="application/vnd.openxmlformats-officedocument.drawing+xml"/>
  <Override PartName="/xl/charts/chart69.xml" ContentType="application/vnd.openxmlformats-officedocument.drawingml.chart+xml"/>
  <Override PartName="/xl/drawings/drawing77.xml" ContentType="application/vnd.openxmlformats-officedocument.drawingml.chartshapes+xml"/>
  <Override PartName="/xl/charts/chart7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8.xml" ContentType="application/vnd.openxmlformats-officedocument.drawing+xml"/>
  <Override PartName="/xl/charts/chart7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9.xml" ContentType="application/vnd.openxmlformats-officedocument.drawing+xml"/>
  <Override PartName="/xl/charts/chart72.xml" ContentType="application/vnd.openxmlformats-officedocument.drawingml.chart+xml"/>
  <Override PartName="/xl/theme/themeOverride54.xml" ContentType="application/vnd.openxmlformats-officedocument.themeOverride+xml"/>
  <Override PartName="/xl/drawings/drawing80.xml" ContentType="application/vnd.openxmlformats-officedocument.drawingml.chartshapes+xml"/>
  <Override PartName="/xl/charts/chart73.xml" ContentType="application/vnd.openxmlformats-officedocument.drawingml.chart+xml"/>
  <Override PartName="/xl/theme/themeOverride55.xml" ContentType="application/vnd.openxmlformats-officedocument.themeOverride+xml"/>
  <Override PartName="/xl/drawings/drawing81.xml" ContentType="application/vnd.openxmlformats-officedocument.drawingml.chartshapes+xml"/>
  <Override PartName="/xl/charts/chart7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75.xml" ContentType="application/vnd.openxmlformats-officedocument.drawingml.chart+xml"/>
  <Override PartName="/xl/theme/themeOverride56.xml" ContentType="application/vnd.openxmlformats-officedocument.themeOverride+xml"/>
  <Override PartName="/xl/drawings/drawing82.xml" ContentType="application/vnd.openxmlformats-officedocument.drawingml.chartshapes+xml"/>
  <Override PartName="/xl/drawings/drawing83.xml" ContentType="application/vnd.openxmlformats-officedocument.drawing+xml"/>
  <Override PartName="/xl/charts/chart76.xml" ContentType="application/vnd.openxmlformats-officedocument.drawingml.chart+xml"/>
  <Override PartName="/xl/theme/themeOverride57.xml" ContentType="application/vnd.openxmlformats-officedocument.themeOverride+xml"/>
  <Override PartName="/xl/drawings/drawing84.xml" ContentType="application/vnd.openxmlformats-officedocument.drawing+xml"/>
  <Override PartName="/xl/charts/chart77.xml" ContentType="application/vnd.openxmlformats-officedocument.drawingml.chart+xml"/>
  <Override PartName="/xl/theme/themeOverride58.xml" ContentType="application/vnd.openxmlformats-officedocument.themeOverride+xml"/>
  <Override PartName="/xl/drawings/drawing85.xml" ContentType="application/vnd.openxmlformats-officedocument.drawing+xml"/>
  <Override PartName="/xl/charts/chart78.xml" ContentType="application/vnd.openxmlformats-officedocument.drawingml.chart+xml"/>
  <Override PartName="/xl/theme/themeOverride59.xml" ContentType="application/vnd.openxmlformats-officedocument.themeOverride+xml"/>
  <Override PartName="/xl/drawings/drawing86.xml" ContentType="application/vnd.openxmlformats-officedocument.drawingml.chartshapes+xml"/>
  <Override PartName="/xl/charts/chart79.xml" ContentType="application/vnd.openxmlformats-officedocument.drawingml.chart+xml"/>
  <Override PartName="/xl/theme/themeOverride60.xml" ContentType="application/vnd.openxmlformats-officedocument.themeOverride+xml"/>
  <Override PartName="/xl/drawings/drawing87.xml" ContentType="application/vnd.openxmlformats-officedocument.drawingml.chartshapes+xml"/>
  <Override PartName="/xl/drawings/drawing88.xml" ContentType="application/vnd.openxmlformats-officedocument.drawing+xml"/>
  <Override PartName="/xl/charts/chart80.xml" ContentType="application/vnd.openxmlformats-officedocument.drawingml.chart+xml"/>
  <Override PartName="/xl/theme/themeOverride61.xml" ContentType="application/vnd.openxmlformats-officedocument.themeOverride+xml"/>
  <Override PartName="/xl/drawings/drawing89.xml" ContentType="application/vnd.openxmlformats-officedocument.drawingml.chartshapes+xml"/>
  <Override PartName="/xl/charts/chart81.xml" ContentType="application/vnd.openxmlformats-officedocument.drawingml.chart+xml"/>
  <Override PartName="/xl/theme/themeOverride62.xml" ContentType="application/vnd.openxmlformats-officedocument.themeOverride+xml"/>
  <Override PartName="/xl/drawings/drawing90.xml" ContentType="application/vnd.openxmlformats-officedocument.drawingml.chartshapes+xml"/>
  <Override PartName="/xl/charts/chart82.xml" ContentType="application/vnd.openxmlformats-officedocument.drawingml.chart+xml"/>
  <Override PartName="/xl/theme/themeOverride63.xml" ContentType="application/vnd.openxmlformats-officedocument.themeOverride+xml"/>
  <Override PartName="/xl/drawings/drawing91.xml" ContentType="application/vnd.openxmlformats-officedocument.drawingml.chartshapes+xml"/>
  <Override PartName="/xl/drawings/drawing92.xml" ContentType="application/vnd.openxmlformats-officedocument.drawing+xml"/>
  <Override PartName="/xl/charts/chart83.xml" ContentType="application/vnd.openxmlformats-officedocument.drawingml.chart+xml"/>
  <Override PartName="/xl/drawings/drawing93.xml" ContentType="application/vnd.openxmlformats-officedocument.drawingml.chartshapes+xml"/>
  <Override PartName="/xl/charts/chart84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4.xml" ContentType="application/vnd.openxmlformats-officedocument.drawing+xml"/>
  <Override PartName="/xl/charts/chart85.xml" ContentType="application/vnd.openxmlformats-officedocument.drawingml.chart+xml"/>
  <Override PartName="/xl/drawings/drawing95.xml" ContentType="application/vnd.openxmlformats-officedocument.drawingml.chartshapes+xml"/>
  <Override PartName="/xl/charts/chart8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1f0989c7d8dfb52/Documents/Development/blogcharts-1/approve-business/en/"/>
    </mc:Choice>
  </mc:AlternateContent>
  <xr:revisionPtr revIDLastSave="0" documentId="11_883288733DE0732722ECBEB193EC936312FEB92D" xr6:coauthVersionLast="45" xr6:coauthVersionMax="45" xr10:uidLastSave="{00000000-0000-0000-0000-000000000000}"/>
  <bookViews>
    <workbookView xWindow="-120" yWindow="-120" windowWidth="29040" windowHeight="15840" tabRatio="920" firstSheet="30" activeTab="32" xr2:uid="{00000000-000D-0000-FFFF-FFFF00000000}"/>
  </bookViews>
  <sheets>
    <sheet name="Chart2" sheetId="54" r:id="rId1"/>
    <sheet name=" Buseinss and Marriage 2019 (2" sheetId="53" r:id="rId2"/>
    <sheet name="RATEHAP" sheetId="11" r:id="rId3"/>
    <sheet name="GALLTRU" sheetId="15" r:id="rId4"/>
    <sheet name="FATEINLF" sheetId="16" r:id="rId5"/>
    <sheet name="HLTHRAT" sheetId="44" r:id="rId6"/>
    <sheet name="MARBUS-2019" sheetId="18" r:id="rId7"/>
    <sheet name="BUSIN-DYN" sheetId="22" r:id="rId8"/>
    <sheet name="MARW-DYN" sheetId="23" r:id="rId9"/>
    <sheet name="NEIGHBOR" sheetId="19" r:id="rId10"/>
    <sheet name="ACC" sheetId="21" r:id="rId11"/>
    <sheet name="Children" sheetId="25" r:id="rId12"/>
    <sheet name="GENDER" sheetId="24" r:id="rId13"/>
    <sheet name="GNDPREF" sheetId="27" r:id="rId14"/>
    <sheet name="GETJOBF" sheetId="26" r:id="rId15"/>
    <sheet name="RELSERV" sheetId="28" r:id="rId16"/>
    <sheet name="RELFAST" sheetId="29" r:id="rId17"/>
    <sheet name="RELIMP" sheetId="31" r:id="rId18"/>
    <sheet name="FLMANDSC" sheetId="32" r:id="rId19"/>
    <sheet name="KNOWENG" sheetId="33" r:id="rId20"/>
    <sheet name="KNOWRUS" sheetId="34" r:id="rId21"/>
    <sheet name="WEB" sheetId="36" r:id="rId22"/>
    <sheet name="FRQINTR" sheetId="35" r:id="rId23"/>
    <sheet name="INTA_DYN" sheetId="39" r:id="rId24"/>
    <sheet name="USSRDISS" sheetId="45" r:id="rId25"/>
    <sheet name="USSRAGE" sheetId="47" r:id="rId26"/>
    <sheet name="USSRDGD" sheetId="38" r:id="rId27"/>
    <sheet name="USSRDBD" sheetId="46" r:id="rId28"/>
    <sheet name="IMPISSS-DYN" sheetId="41" r:id="rId29"/>
    <sheet name="TOP3ISS" sheetId="42" r:id="rId30"/>
    <sheet name="Two Chart Sheet_Business" sheetId="90" r:id="rId31"/>
    <sheet name="Two Chart Sheet_Marrying" sheetId="92" r:id="rId32"/>
    <sheet name="Sheet2" sheetId="91" r:id="rId33"/>
    <sheet name="colors" sheetId="14" r:id="rId34"/>
  </sheets>
  <functionGroups builtInGroupCount="19"/>
  <externalReferences>
    <externalReference r:id="rId35"/>
    <externalReference r:id="rId36"/>
  </externalReferences>
  <definedNames>
    <definedName name="grp_Brace">"Another bracket line,Bracket line"</definedName>
    <definedName name="grp_MoreInfo">"Bottom line,Group 113"</definedName>
    <definedName name="grp_WalkMeArrows">"shp_ArrowCurved,txt_WalkMeArrows,shp_ArrowStraight"</definedName>
    <definedName name="grp_WalkMeBrace">"shp_BraceBottom,txt_WalkMeBrace,shp_BraceLeft"</definedName>
    <definedName name="lst_Callouts">[1]!tbl_Callouts[Icon Callouts]</definedName>
    <definedName name="SalesTax">0.0825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5" i="14" l="1"/>
  <c r="D75" i="14"/>
  <c r="C75" i="14"/>
  <c r="E74" i="14"/>
  <c r="D74" i="14"/>
  <c r="C74" i="14"/>
  <c r="E73" i="14"/>
  <c r="D73" i="14"/>
  <c r="C73" i="14"/>
  <c r="E72" i="14"/>
  <c r="D72" i="14"/>
  <c r="C72" i="14"/>
  <c r="E71" i="14"/>
  <c r="D71" i="14"/>
  <c r="C71" i="14"/>
  <c r="F74" i="14" a="1"/>
  <c r="F75" i="14" a="1"/>
  <c r="F71" i="14" a="1"/>
  <c r="F72" i="14" a="1"/>
  <c r="F73" i="14" a="1"/>
  <c r="F74" i="14" l="1"/>
  <c r="F71" i="14"/>
  <c r="F73" i="14"/>
  <c r="F75" i="14"/>
  <c r="F72" i="14"/>
  <c r="E69" i="14" l="1"/>
  <c r="D69" i="14"/>
  <c r="C69" i="14"/>
  <c r="F69" i="14" a="1"/>
  <c r="F69" i="14" l="1"/>
  <c r="E67" i="14" l="1"/>
  <c r="D67" i="14"/>
  <c r="C67" i="14"/>
  <c r="E66" i="14"/>
  <c r="D66" i="14"/>
  <c r="C66" i="14"/>
  <c r="E65" i="14"/>
  <c r="D65" i="14"/>
  <c r="C65" i="14"/>
  <c r="E64" i="14"/>
  <c r="D64" i="14"/>
  <c r="C64" i="14"/>
  <c r="F65" i="14" a="1"/>
  <c r="F66" i="14" a="1"/>
  <c r="F67" i="14" a="1"/>
  <c r="F64" i="14" a="1"/>
  <c r="F67" i="14" l="1"/>
  <c r="F64" i="14"/>
  <c r="F65" i="14"/>
  <c r="F66" i="14"/>
  <c r="H60" i="14"/>
  <c r="I60" i="14"/>
  <c r="J60" i="14"/>
  <c r="H61" i="14"/>
  <c r="I61" i="14"/>
  <c r="J61" i="14"/>
  <c r="H62" i="14"/>
  <c r="I62" i="14"/>
  <c r="J62" i="14"/>
  <c r="J59" i="14"/>
  <c r="I59" i="14"/>
  <c r="H59" i="14"/>
  <c r="E62" i="14"/>
  <c r="D62" i="14"/>
  <c r="C62" i="14"/>
  <c r="E61" i="14"/>
  <c r="D61" i="14"/>
  <c r="C61" i="14"/>
  <c r="E60" i="14"/>
  <c r="D60" i="14"/>
  <c r="C60" i="14"/>
  <c r="E59" i="14"/>
  <c r="D59" i="14"/>
  <c r="C59" i="14"/>
  <c r="E57" i="14"/>
  <c r="D57" i="14"/>
  <c r="C57" i="14"/>
  <c r="E56" i="14"/>
  <c r="D56" i="14"/>
  <c r="C56" i="14"/>
  <c r="E55" i="14"/>
  <c r="D55" i="14"/>
  <c r="C55" i="14"/>
  <c r="E54" i="14"/>
  <c r="D54" i="14"/>
  <c r="C54" i="14"/>
  <c r="F54" i="14" a="1"/>
  <c r="F60" i="14" a="1"/>
  <c r="F59" i="14" a="1"/>
  <c r="F57" i="14" a="1"/>
  <c r="F55" i="14" a="1"/>
  <c r="F61" i="14" a="1"/>
  <c r="K59" i="14" a="1"/>
  <c r="K60" i="14" a="1"/>
  <c r="F56" i="14" a="1"/>
  <c r="F62" i="14" a="1"/>
  <c r="K62" i="14" a="1"/>
  <c r="K61" i="14" a="1"/>
  <c r="K62" i="14" l="1"/>
  <c r="K60" i="14"/>
  <c r="K61" i="14"/>
  <c r="K59" i="14"/>
  <c r="F60" i="14"/>
  <c r="F59" i="14"/>
  <c r="F61" i="14"/>
  <c r="F62" i="14"/>
  <c r="F55" i="14"/>
  <c r="F56" i="14"/>
  <c r="F54" i="14"/>
  <c r="F57" i="14"/>
  <c r="E52" i="14"/>
  <c r="D52" i="14"/>
  <c r="C52" i="14"/>
  <c r="E51" i="14"/>
  <c r="D51" i="14"/>
  <c r="C51" i="14"/>
  <c r="E50" i="14"/>
  <c r="D50" i="14"/>
  <c r="C50" i="14"/>
  <c r="E49" i="14"/>
  <c r="D49" i="14"/>
  <c r="C49" i="14"/>
  <c r="E47" i="14"/>
  <c r="D47" i="14"/>
  <c r="C47" i="14"/>
  <c r="E46" i="14"/>
  <c r="D46" i="14"/>
  <c r="C46" i="14"/>
  <c r="E45" i="14"/>
  <c r="D45" i="14"/>
  <c r="C45" i="14"/>
  <c r="E44" i="14"/>
  <c r="D44" i="14"/>
  <c r="C44" i="14"/>
  <c r="E43" i="14"/>
  <c r="D43" i="14"/>
  <c r="C43" i="14"/>
  <c r="E41" i="14"/>
  <c r="D41" i="14"/>
  <c r="C41" i="14"/>
  <c r="E40" i="14"/>
  <c r="D40" i="14"/>
  <c r="C40" i="14"/>
  <c r="E39" i="14"/>
  <c r="D39" i="14"/>
  <c r="C39" i="14"/>
  <c r="E38" i="14"/>
  <c r="D38" i="14"/>
  <c r="C38" i="14"/>
  <c r="E37" i="14"/>
  <c r="D37" i="14"/>
  <c r="C37" i="14"/>
  <c r="E34" i="14"/>
  <c r="D34" i="14"/>
  <c r="C34" i="14"/>
  <c r="E33" i="14"/>
  <c r="D33" i="14"/>
  <c r="C33" i="14"/>
  <c r="E32" i="14"/>
  <c r="D32" i="14"/>
  <c r="C32" i="14"/>
  <c r="E31" i="14"/>
  <c r="D31" i="14"/>
  <c r="C31" i="14"/>
  <c r="E30" i="14"/>
  <c r="D30" i="14"/>
  <c r="C30" i="14"/>
  <c r="E28" i="14"/>
  <c r="D28" i="14"/>
  <c r="C28" i="14"/>
  <c r="E27" i="14"/>
  <c r="D27" i="14"/>
  <c r="C27" i="14"/>
  <c r="E26" i="14"/>
  <c r="D26" i="14"/>
  <c r="C26" i="14"/>
  <c r="E24" i="14"/>
  <c r="D24" i="14"/>
  <c r="C24" i="14"/>
  <c r="E23" i="14"/>
  <c r="D23" i="14"/>
  <c r="C23" i="14"/>
  <c r="E22" i="14"/>
  <c r="D22" i="14"/>
  <c r="C22" i="14"/>
  <c r="E21" i="14"/>
  <c r="D21" i="14"/>
  <c r="C21" i="14"/>
  <c r="E20" i="14"/>
  <c r="D20" i="14"/>
  <c r="C20" i="14"/>
  <c r="E19" i="14"/>
  <c r="D19" i="14"/>
  <c r="C19" i="14"/>
  <c r="E18" i="14"/>
  <c r="D18" i="14"/>
  <c r="C18" i="14"/>
  <c r="E17" i="14"/>
  <c r="D17" i="14"/>
  <c r="C17" i="14"/>
  <c r="E16" i="14"/>
  <c r="D16" i="14"/>
  <c r="C16" i="14"/>
  <c r="E15" i="14"/>
  <c r="D15" i="14"/>
  <c r="C15" i="14"/>
  <c r="E12" i="14"/>
  <c r="D12" i="14"/>
  <c r="C12" i="14"/>
  <c r="E11" i="14"/>
  <c r="D11" i="14"/>
  <c r="C11" i="14"/>
  <c r="E10" i="14"/>
  <c r="D10" i="14"/>
  <c r="C10" i="14"/>
  <c r="E9" i="14"/>
  <c r="D9" i="14"/>
  <c r="C9" i="14"/>
  <c r="E8" i="14"/>
  <c r="D8" i="14"/>
  <c r="C8" i="14"/>
  <c r="E7" i="14"/>
  <c r="D7" i="14"/>
  <c r="C7" i="14"/>
  <c r="E6" i="14"/>
  <c r="D6" i="14"/>
  <c r="C6" i="14"/>
  <c r="E5" i="14"/>
  <c r="D5" i="14"/>
  <c r="C5" i="14"/>
  <c r="E4" i="14"/>
  <c r="D4" i="14"/>
  <c r="C4" i="14"/>
  <c r="E3" i="14"/>
  <c r="D3" i="14"/>
  <c r="C3" i="14"/>
  <c r="F39" i="14" a="1"/>
  <c r="F38" i="14" a="1"/>
  <c r="F19" i="14" a="1"/>
  <c r="F32" i="14" a="1"/>
  <c r="F47" i="14" a="1"/>
  <c r="F31" i="14" a="1"/>
  <c r="F52" i="14" a="1"/>
  <c r="F4" i="14" a="1"/>
  <c r="F8" i="14" a="1"/>
  <c r="F5" i="14" a="1"/>
  <c r="F40" i="14" a="1"/>
  <c r="F50" i="14" a="1"/>
  <c r="F27" i="14" a="1"/>
  <c r="F33" i="14" a="1"/>
  <c r="F10" i="14" a="1"/>
  <c r="F34" i="14" a="1"/>
  <c r="F9" i="14" a="1"/>
  <c r="F49" i="14" a="1"/>
  <c r="F28" i="14" a="1"/>
  <c r="F21" i="14" a="1"/>
  <c r="F16" i="14" a="1"/>
  <c r="F51" i="14" a="1"/>
  <c r="F45" i="14" a="1"/>
  <c r="F7" i="14" a="1"/>
  <c r="F43" i="14" a="1"/>
  <c r="F23" i="14" a="1"/>
  <c r="F20" i="14" a="1"/>
  <c r="F17" i="14" a="1"/>
  <c r="F3" i="14" a="1"/>
  <c r="F6" i="14" a="1"/>
  <c r="F44" i="14" a="1"/>
  <c r="F41" i="14" a="1"/>
  <c r="F37" i="14" a="1"/>
  <c r="F24" i="14" a="1"/>
  <c r="F30" i="14" a="1"/>
  <c r="F26" i="14" a="1"/>
  <c r="F46" i="14" a="1"/>
  <c r="F18" i="14" a="1"/>
  <c r="F11" i="14" a="1"/>
  <c r="F12" i="14" a="1"/>
  <c r="F22" i="14" a="1"/>
  <c r="F15" i="14" a="1"/>
  <c r="F22" i="14" l="1"/>
  <c r="F38" i="14"/>
  <c r="F15" i="14"/>
  <c r="F44" i="14"/>
  <c r="F6" i="14"/>
  <c r="F20" i="14"/>
  <c r="F34" i="14"/>
  <c r="F50" i="14"/>
  <c r="F11" i="14"/>
  <c r="F26" i="14"/>
  <c r="F41" i="14"/>
  <c r="F4" i="14"/>
  <c r="F18" i="14"/>
  <c r="F32" i="14"/>
  <c r="F47" i="14"/>
  <c r="F9" i="14"/>
  <c r="F23" i="14"/>
  <c r="F39" i="14"/>
  <c r="F16" i="14"/>
  <c r="F30" i="14"/>
  <c r="F45" i="14"/>
  <c r="F7" i="14"/>
  <c r="F21" i="14"/>
  <c r="F37" i="14"/>
  <c r="F51" i="14"/>
  <c r="F12" i="14"/>
  <c r="F27" i="14"/>
  <c r="F43" i="14"/>
  <c r="F5" i="14"/>
  <c r="F19" i="14"/>
  <c r="F33" i="14"/>
  <c r="F49" i="14"/>
  <c r="F10" i="14"/>
  <c r="F24" i="14"/>
  <c r="F40" i="14"/>
  <c r="F17" i="14"/>
  <c r="F31" i="14"/>
  <c r="F46" i="14"/>
  <c r="F3" i="14"/>
  <c r="F52" i="14"/>
  <c r="F8" i="14"/>
  <c r="F2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<sst xmlns="http://schemas.openxmlformats.org/spreadsheetml/2006/main" count="146" uniqueCount="81">
  <si>
    <t>Georgian</t>
  </si>
  <si>
    <t>Russian</t>
  </si>
  <si>
    <t>Armenia</t>
  </si>
  <si>
    <t>Georgia</t>
  </si>
  <si>
    <t>R</t>
  </si>
  <si>
    <t>G</t>
  </si>
  <si>
    <t>B</t>
  </si>
  <si>
    <t>00429d</t>
  </si>
  <si>
    <t>3e67ae</t>
  </si>
  <si>
    <t>618fbf</t>
  </si>
  <si>
    <t>85b7ce</t>
  </si>
  <si>
    <t>b1dfdb</t>
  </si>
  <si>
    <t>ffcab9</t>
  </si>
  <si>
    <t>fd9291</t>
  </si>
  <si>
    <t>e75d6f</t>
  </si>
  <si>
    <t>c52a52</t>
  </si>
  <si>
    <t>93003a</t>
  </si>
  <si>
    <t>59497e</t>
  </si>
  <si>
    <t>806ea7</t>
  </si>
  <si>
    <t>aa96d1</t>
  </si>
  <si>
    <t>d5bffd</t>
  </si>
  <si>
    <t>fcbd9e</t>
  </si>
  <si>
    <t>ee865b</t>
  </si>
  <si>
    <t>cf532d</t>
  </si>
  <si>
    <t>a02a16</t>
  </si>
  <si>
    <t>6e0000</t>
  </si>
  <si>
    <t>c6c6c6</t>
  </si>
  <si>
    <t>00918e</t>
  </si>
  <si>
    <t>4dd599</t>
  </si>
  <si>
    <t>e95c3a</t>
  </si>
  <si>
    <t>ffdc34</t>
  </si>
  <si>
    <t>110133</t>
  </si>
  <si>
    <t>7fa998</t>
  </si>
  <si>
    <t>f1f1b0</t>
  </si>
  <si>
    <t>df8543</t>
  </si>
  <si>
    <t>9d2503</t>
  </si>
  <si>
    <t>719566</t>
  </si>
  <si>
    <t>3f4d71</t>
  </si>
  <si>
    <t>55ae95</t>
  </si>
  <si>
    <t>7f7f7f</t>
  </si>
  <si>
    <t>0d0d0d</t>
  </si>
  <si>
    <t>b54f2f</t>
  </si>
  <si>
    <t>cb7458</t>
  </si>
  <si>
    <t>dd9983</t>
  </si>
  <si>
    <t>edbfb0</t>
  </si>
  <si>
    <t>cb8e30</t>
  </si>
  <si>
    <t>94be87</t>
  </si>
  <si>
    <t>e41a1c</t>
  </si>
  <si>
    <t>377eb8</t>
  </si>
  <si>
    <t>4daf4a</t>
  </si>
  <si>
    <t>984ea3</t>
  </si>
  <si>
    <t>fd9881</t>
  </si>
  <si>
    <t>92bbe2</t>
  </si>
  <si>
    <t>9ed396</t>
  </si>
  <si>
    <t>d1a1d7</t>
  </si>
  <si>
    <t>62d1cd</t>
  </si>
  <si>
    <t>005856</t>
  </si>
  <si>
    <t>059491</t>
  </si>
  <si>
    <t>3b5998</t>
  </si>
  <si>
    <t>709fc2</t>
  </si>
  <si>
    <t>f4fbbc</t>
  </si>
  <si>
    <t>f4777f</t>
  </si>
  <si>
    <t>Ukrainian</t>
  </si>
  <si>
    <t>Italian</t>
  </si>
  <si>
    <t>American</t>
  </si>
  <si>
    <t>Indian</t>
  </si>
  <si>
    <t>Arab</t>
  </si>
  <si>
    <t>Iranian</t>
  </si>
  <si>
    <t>Azerbaijani</t>
  </si>
  <si>
    <t>Jew</t>
  </si>
  <si>
    <t>Turk</t>
  </si>
  <si>
    <t>Kurd</t>
  </si>
  <si>
    <t xml:space="preserve">Armenian </t>
  </si>
  <si>
    <t>Business 2019</t>
  </si>
  <si>
    <t>Marriage 2019</t>
  </si>
  <si>
    <t>Business 2009</t>
  </si>
  <si>
    <t>Marriage 2009</t>
  </si>
  <si>
    <t>Ukrainian was first asked in Geogia and Armenia in 2010</t>
  </si>
  <si>
    <t>Iranian was first asked in Georgia and Armenia in 2010</t>
  </si>
  <si>
    <t>Indian was first asked in Georgia and Armenia in 2010</t>
  </si>
  <si>
    <t>Arab was first asked in Georgia and Armenia in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</si>
</sst>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\(&quot;$&quot;#,##0\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rgb="FF212529"/>
      <name val="Consolas"/>
      <family val="3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B744D"/>
      <name val="Calibri"/>
      <family val="2"/>
      <scheme val="minor"/>
    </font>
    <font>
      <sz val="17"/>
      <color theme="0"/>
      <name val="Calibri"/>
      <family val="2"/>
      <scheme val="minor"/>
    </font>
    <font>
      <sz val="72"/>
      <color theme="0"/>
      <name val="Calibri Light"/>
      <family val="2"/>
      <scheme val="major"/>
    </font>
    <font>
      <sz val="11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429D"/>
        <bgColor indexed="64"/>
      </patternFill>
    </fill>
    <fill>
      <patternFill patternType="solid">
        <fgColor rgb="FF85B7CE"/>
        <bgColor indexed="64"/>
      </patternFill>
    </fill>
    <fill>
      <patternFill patternType="solid">
        <fgColor rgb="FFE75D6F"/>
        <bgColor indexed="64"/>
      </patternFill>
    </fill>
    <fill>
      <patternFill patternType="solid">
        <fgColor rgb="FF93003A"/>
        <bgColor indexed="64"/>
      </patternFill>
    </fill>
    <fill>
      <patternFill patternType="solid">
        <fgColor rgb="FFC52A52"/>
        <bgColor indexed="64"/>
      </patternFill>
    </fill>
    <fill>
      <patternFill patternType="solid">
        <fgColor rgb="FFFD9291"/>
        <bgColor indexed="64"/>
      </patternFill>
    </fill>
    <fill>
      <patternFill patternType="solid">
        <fgColor rgb="FF618FBF"/>
        <bgColor indexed="64"/>
      </patternFill>
    </fill>
    <fill>
      <patternFill patternType="solid">
        <fgColor rgb="FFFFCAB9"/>
        <bgColor indexed="64"/>
      </patternFill>
    </fill>
    <fill>
      <patternFill patternType="solid">
        <fgColor rgb="FF3E67AE"/>
        <bgColor indexed="64"/>
      </patternFill>
    </fill>
    <fill>
      <patternFill patternType="solid">
        <fgColor rgb="FFB1DFDB"/>
        <bgColor indexed="64"/>
      </patternFill>
    </fill>
    <fill>
      <patternFill patternType="solid">
        <fgColor rgb="FFEE865B"/>
        <bgColor indexed="64"/>
      </patternFill>
    </fill>
    <fill>
      <patternFill patternType="solid">
        <fgColor rgb="FF59497E"/>
        <bgColor indexed="64"/>
      </patternFill>
    </fill>
    <fill>
      <patternFill patternType="solid">
        <fgColor rgb="FFD5BFFD"/>
        <bgColor indexed="64"/>
      </patternFill>
    </fill>
    <fill>
      <patternFill patternType="solid">
        <fgColor rgb="FFCF532D"/>
        <bgColor indexed="64"/>
      </patternFill>
    </fill>
    <fill>
      <patternFill patternType="solid">
        <fgColor rgb="FFFCBD9E"/>
        <bgColor indexed="64"/>
      </patternFill>
    </fill>
    <fill>
      <patternFill patternType="solid">
        <fgColor rgb="FF806EA7"/>
        <bgColor indexed="64"/>
      </patternFill>
    </fill>
    <fill>
      <patternFill patternType="solid">
        <fgColor rgb="FFA02A16"/>
        <bgColor indexed="64"/>
      </patternFill>
    </fill>
    <fill>
      <patternFill patternType="solid">
        <fgColor rgb="FF332658"/>
        <bgColor indexed="64"/>
      </patternFill>
    </fill>
    <fill>
      <patternFill patternType="solid">
        <fgColor rgb="FFAA96D1"/>
        <bgColor indexed="64"/>
      </patternFill>
    </fill>
    <fill>
      <patternFill patternType="solid">
        <fgColor rgb="FF6E0000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110133"/>
        <bgColor indexed="64"/>
      </patternFill>
    </fill>
    <fill>
      <patternFill patternType="solid">
        <fgColor rgb="FF00918E"/>
        <bgColor indexed="64"/>
      </patternFill>
    </fill>
    <fill>
      <patternFill patternType="solid">
        <fgColor rgb="FF4DD599"/>
        <bgColor indexed="64"/>
      </patternFill>
    </fill>
    <fill>
      <patternFill patternType="solid">
        <fgColor rgb="FFE95C3A"/>
        <bgColor indexed="64"/>
      </patternFill>
    </fill>
    <fill>
      <patternFill patternType="solid">
        <fgColor rgb="FFFFDC34"/>
        <bgColor indexed="64"/>
      </patternFill>
    </fill>
    <fill>
      <patternFill patternType="solid">
        <fgColor rgb="FF7FA998"/>
        <bgColor indexed="64"/>
      </patternFill>
    </fill>
    <fill>
      <patternFill patternType="solid">
        <fgColor rgb="FFF1F1B0"/>
        <bgColor indexed="64"/>
      </patternFill>
    </fill>
    <fill>
      <patternFill patternType="solid">
        <fgColor rgb="FF719566"/>
        <bgColor indexed="64"/>
      </patternFill>
    </fill>
    <fill>
      <patternFill patternType="solid">
        <fgColor rgb="FFDF8543"/>
        <bgColor indexed="64"/>
      </patternFill>
    </fill>
    <fill>
      <patternFill patternType="solid">
        <fgColor rgb="FF9D2503"/>
        <bgColor indexed="64"/>
      </patternFill>
    </fill>
    <fill>
      <patternFill patternType="solid">
        <fgColor rgb="FF3F4D71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55AE9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B54F2F"/>
        <bgColor indexed="64"/>
      </patternFill>
    </fill>
    <fill>
      <patternFill patternType="solid">
        <fgColor rgb="FFCB7458"/>
        <bgColor indexed="64"/>
      </patternFill>
    </fill>
    <fill>
      <patternFill patternType="solid">
        <fgColor rgb="FFDD9983"/>
        <bgColor indexed="64"/>
      </patternFill>
    </fill>
    <fill>
      <patternFill patternType="solid">
        <fgColor rgb="FFEDBFB0"/>
        <bgColor indexed="64"/>
      </patternFill>
    </fill>
    <fill>
      <patternFill patternType="solid">
        <fgColor rgb="FF94BE87"/>
        <bgColor indexed="64"/>
      </patternFill>
    </fill>
    <fill>
      <patternFill patternType="solid">
        <fgColor rgb="FFCB8E30"/>
        <bgColor indexed="64"/>
      </patternFill>
    </fill>
    <fill>
      <patternFill patternType="solid">
        <fgColor rgb="FF984EA3"/>
        <bgColor indexed="64"/>
      </patternFill>
    </fill>
    <fill>
      <patternFill patternType="solid">
        <fgColor rgb="FF4DAF4A"/>
        <bgColor indexed="64"/>
      </patternFill>
    </fill>
    <fill>
      <patternFill patternType="solid">
        <fgColor rgb="FFE41A1C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rgb="FFFD9881"/>
        <bgColor indexed="64"/>
      </patternFill>
    </fill>
    <fill>
      <patternFill patternType="solid">
        <fgColor rgb="FF9ED396"/>
        <bgColor indexed="64"/>
      </patternFill>
    </fill>
    <fill>
      <patternFill patternType="solid">
        <fgColor rgb="FF92BBE2"/>
        <bgColor indexed="64"/>
      </patternFill>
    </fill>
    <fill>
      <patternFill patternType="solid">
        <fgColor rgb="FFD1A1D7"/>
        <bgColor indexed="64"/>
      </patternFill>
    </fill>
    <fill>
      <patternFill patternType="solid">
        <fgColor rgb="FF62D1CD"/>
        <bgColor indexed="64"/>
      </patternFill>
    </fill>
    <fill>
      <patternFill patternType="solid">
        <fgColor rgb="FF005856"/>
        <bgColor indexed="64"/>
      </patternFill>
    </fill>
    <fill>
      <patternFill patternType="solid">
        <fgColor rgb="FF059491"/>
        <bgColor indexed="64"/>
      </patternFill>
    </fill>
    <fill>
      <patternFill patternType="solid">
        <fgColor rgb="FF3B5998"/>
        <bgColor indexed="64"/>
      </patternFill>
    </fill>
    <fill>
      <patternFill patternType="solid">
        <fgColor rgb="FF709FC2"/>
        <bgColor indexed="64"/>
      </patternFill>
    </fill>
    <fill>
      <patternFill patternType="solid">
        <fgColor rgb="FFF4FBBC"/>
        <bgColor indexed="64"/>
      </patternFill>
    </fill>
    <fill>
      <patternFill patternType="solid">
        <fgColor rgb="FFF4777F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/>
    <xf numFmtId="0" fontId="5" fillId="59" borderId="0" applyNumberFormat="0" applyProtection="0">
      <alignment horizontal="left" wrapText="1" indent="4"/>
    </xf>
    <xf numFmtId="0" fontId="6" fillId="59" borderId="0" applyNumberFormat="0" applyProtection="0">
      <alignment horizontal="left" wrapText="1" indent="4"/>
    </xf>
    <xf numFmtId="0" fontId="7" fillId="59" borderId="0" applyNumberFormat="0" applyBorder="0" applyProtection="0">
      <alignment horizontal="left" indent="1"/>
    </xf>
    <xf numFmtId="0" fontId="5" fillId="0" borderId="0" applyFill="0" applyBorder="0">
      <alignment wrapText="1"/>
    </xf>
    <xf numFmtId="0" fontId="3" fillId="0" borderId="0"/>
    <xf numFmtId="164" fontId="1" fillId="0" borderId="0" applyFont="0" applyFill="0" applyBorder="0" applyAlignment="0" applyProtection="0"/>
    <xf numFmtId="16" fontId="8" fillId="0" borderId="0" applyFont="0" applyFill="0" applyBorder="0" applyAlignment="0">
      <alignment horizontal="left"/>
    </xf>
    <xf numFmtId="0" fontId="4" fillId="0" borderId="0"/>
    <xf numFmtId="14" fontId="3" fillId="0" borderId="0" applyFont="0" applyFill="0" applyBorder="0" applyAlignment="0"/>
    <xf numFmtId="0" fontId="3" fillId="60" borderId="2"/>
  </cellStyleXfs>
  <cellXfs count="75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0" xfId="0" applyFont="1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2" fillId="0" borderId="0" xfId="0" applyFont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11" fontId="2" fillId="0" borderId="0" xfId="0" quotePrefix="1" applyNumberFormat="1" applyFont="1" applyAlignment="1">
      <alignment horizontal="left" vertical="center"/>
    </xf>
    <xf numFmtId="0" fontId="0" fillId="22" borderId="0" xfId="0" applyFill="1"/>
    <xf numFmtId="1" fontId="0" fillId="0" borderId="1" xfId="0" applyNumberFormat="1" applyBorder="1"/>
    <xf numFmtId="0" fontId="1" fillId="0" borderId="0" xfId="0" applyFont="1" applyBorder="1"/>
    <xf numFmtId="0" fontId="0" fillId="23" borderId="0" xfId="0" applyFill="1"/>
    <xf numFmtId="0" fontId="0" fillId="0" borderId="0" xfId="0" quotePrefix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2" fillId="0" borderId="0" xfId="0" quotePrefix="1" applyFont="1" applyAlignment="1">
      <alignment horizontal="left" vertical="center"/>
    </xf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1" fontId="0" fillId="0" borderId="0" xfId="0" applyNumberFormat="1" applyBorder="1"/>
    <xf numFmtId="0" fontId="1" fillId="0" borderId="1" xfId="0" applyFont="1" applyFill="1" applyBorder="1"/>
    <xf numFmtId="1" fontId="0" fillId="2" borderId="1" xfId="0" applyNumberFormat="1" applyFill="1" applyBorder="1"/>
    <xf numFmtId="0" fontId="0" fillId="0" borderId="0" xfId="0" applyBorder="1"/>
    <xf numFmtId="0" fontId="0" fillId="0" borderId="1" xfId="0" applyFill="1" applyBorder="1"/>
    <xf numFmtId="1" fontId="1" fillId="0" borderId="1" xfId="0" applyNumberFormat="1" applyFont="1" applyFill="1" applyBorder="1"/>
    <xf numFmtId="1" fontId="0" fillId="0" borderId="1" xfId="0" applyNumberFormat="1" applyFill="1" applyBorder="1"/>
    <xf numFmtId="0" fontId="0" fillId="0" borderId="0" xfId="0" applyFill="1"/>
  </cellXfs>
  <cellStyles count="12">
    <cellStyle name="Currency 2" xfId="7" xr:uid="{00000000-0005-0000-0000-000000000000}"/>
    <cellStyle name="Date" xfId="10" xr:uid="{00000000-0005-0000-0000-000001000000}"/>
    <cellStyle name="Date 2" xfId="8" xr:uid="{00000000-0005-0000-0000-000002000000}"/>
    <cellStyle name="Heading 1 2" xfId="3" xr:uid="{00000000-0005-0000-0000-000003000000}"/>
    <cellStyle name="Heading 2 2" xfId="2" xr:uid="{00000000-0005-0000-0000-000004000000}"/>
    <cellStyle name="Normal" xfId="0" builtinId="0"/>
    <cellStyle name="Normal 2" xfId="6" xr:uid="{00000000-0005-0000-0000-000006000000}"/>
    <cellStyle name="Normal 5 2" xfId="1" xr:uid="{00000000-0005-0000-0000-000007000000}"/>
    <cellStyle name="Start Text" xfId="5" xr:uid="{00000000-0005-0000-0000-000008000000}"/>
    <cellStyle name="Title 2" xfId="4" xr:uid="{00000000-0005-0000-0000-000009000000}"/>
    <cellStyle name="YellowCell" xfId="11" xr:uid="{00000000-0005-0000-0000-00000A000000}"/>
    <cellStyle name="z A Column text" xfId="9" xr:uid="{00000000-0005-0000-0000-00000B000000}"/>
  </cellStyles>
  <dxfs count="0"/>
  <tableStyles count="0" defaultTableStyle="TableStyleMedium2" defaultPivotStyle="PivotStyleLight16"/>
  <colors>
    <mruColors>
      <color rgb="FF008000"/>
      <color rgb="FF009999"/>
      <color rgb="FFE41A1C"/>
      <color rgb="FFCB8E30"/>
      <color rgb="FF7F7F7F"/>
      <color rgb="FF5B9BD5"/>
      <color rgb="FF00B050"/>
      <color rgb="FF3F4D71"/>
      <color rgb="FF005856"/>
      <color rgb="FF9D25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13.xml"/><Relationship Id="rId18" Type="http://schemas.openxmlformats.org/officeDocument/2006/relationships/chartsheet" Target="chartsheets/sheet18.xml"/><Relationship Id="rId26" Type="http://schemas.openxmlformats.org/officeDocument/2006/relationships/chartsheet" Target="chartsheets/sheet26.xml"/><Relationship Id="rId39" Type="http://schemas.openxmlformats.org/officeDocument/2006/relationships/sharedStrings" Target="sharedStrings.xml"/><Relationship Id="rId21" Type="http://schemas.openxmlformats.org/officeDocument/2006/relationships/chartsheet" Target="chartsheets/sheet21.xml"/><Relationship Id="rId34" Type="http://schemas.openxmlformats.org/officeDocument/2006/relationships/worksheet" Target="worksheets/sheet2.xml"/><Relationship Id="rId42" Type="http://schemas.openxmlformats.org/officeDocument/2006/relationships/calcChain" Target="calcChain.xml"/><Relationship Id="rId7" Type="http://schemas.openxmlformats.org/officeDocument/2006/relationships/chartsheet" Target="chartsheets/sheet7.xml"/><Relationship Id="rId2" Type="http://schemas.openxmlformats.org/officeDocument/2006/relationships/chartsheet" Target="chartsheets/sheet2.xml"/><Relationship Id="rId16" Type="http://schemas.openxmlformats.org/officeDocument/2006/relationships/chartsheet" Target="chartsheets/sheet16.xml"/><Relationship Id="rId20" Type="http://schemas.openxmlformats.org/officeDocument/2006/relationships/chartsheet" Target="chartsheets/sheet20.xml"/><Relationship Id="rId29" Type="http://schemas.openxmlformats.org/officeDocument/2006/relationships/chartsheet" Target="chartsheets/sheet29.xml"/><Relationship Id="rId41" Type="http://schemas.microsoft.com/office/2017/10/relationships/person" Target="persons/person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chartsheet" Target="chartsheets/sheet11.xml"/><Relationship Id="rId24" Type="http://schemas.openxmlformats.org/officeDocument/2006/relationships/chartsheet" Target="chartsheets/sheet24.xml"/><Relationship Id="rId32" Type="http://schemas.openxmlformats.org/officeDocument/2006/relationships/chartsheet" Target="chart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chartsheet" Target="chartsheets/sheet5.xml"/><Relationship Id="rId15" Type="http://schemas.openxmlformats.org/officeDocument/2006/relationships/chartsheet" Target="chartsheets/sheet15.xml"/><Relationship Id="rId23" Type="http://schemas.openxmlformats.org/officeDocument/2006/relationships/chartsheet" Target="chartsheets/sheet23.xml"/><Relationship Id="rId28" Type="http://schemas.openxmlformats.org/officeDocument/2006/relationships/chartsheet" Target="chartsheets/sheet28.xml"/><Relationship Id="rId36" Type="http://schemas.openxmlformats.org/officeDocument/2006/relationships/externalLink" Target="externalLinks/externalLink2.xml"/><Relationship Id="rId10" Type="http://schemas.openxmlformats.org/officeDocument/2006/relationships/chartsheet" Target="chartsheets/sheet10.xml"/><Relationship Id="rId19" Type="http://schemas.openxmlformats.org/officeDocument/2006/relationships/chartsheet" Target="chartsheets/sheet19.xml"/><Relationship Id="rId31" Type="http://schemas.openxmlformats.org/officeDocument/2006/relationships/chartsheet" Target="chartsheets/sheet31.xml"/><Relationship Id="rId44" Type="http://schemas.microsoft.com/office/2006/relationships/vbaProject" Target="vbaProject.bin"/><Relationship Id="rId4" Type="http://schemas.openxmlformats.org/officeDocument/2006/relationships/chartsheet" Target="chartsheets/sheet4.xml"/><Relationship Id="rId9" Type="http://schemas.openxmlformats.org/officeDocument/2006/relationships/chartsheet" Target="chartsheets/sheet9.xml"/><Relationship Id="rId14" Type="http://schemas.openxmlformats.org/officeDocument/2006/relationships/chartsheet" Target="chartsheets/sheet14.xml"/><Relationship Id="rId22" Type="http://schemas.openxmlformats.org/officeDocument/2006/relationships/chartsheet" Target="chartsheets/sheet22.xml"/><Relationship Id="rId27" Type="http://schemas.openxmlformats.org/officeDocument/2006/relationships/chartsheet" Target="chartsheets/sheet27.xml"/><Relationship Id="rId30" Type="http://schemas.openxmlformats.org/officeDocument/2006/relationships/chartsheet" Target="chartsheets/sheet30.xml"/><Relationship Id="rId35" Type="http://schemas.openxmlformats.org/officeDocument/2006/relationships/externalLink" Target="externalLinks/externalLink1.xml"/><Relationship Id="rId43" Type="http://schemas.openxmlformats.org/officeDocument/2006/relationships/customXml" Target="../customXml/item1.xml"/><Relationship Id="rId8" Type="http://schemas.openxmlformats.org/officeDocument/2006/relationships/chartsheet" Target="chartsheets/sheet8.xml"/><Relationship Id="rId3" Type="http://schemas.openxmlformats.org/officeDocument/2006/relationships/chartsheet" Target="chartsheets/sheet3.xml"/><Relationship Id="rId12" Type="http://schemas.openxmlformats.org/officeDocument/2006/relationships/chartsheet" Target="chartsheets/sheet12.xml"/><Relationship Id="rId17" Type="http://schemas.openxmlformats.org/officeDocument/2006/relationships/chartsheet" Target="chartsheets/sheet17.xml"/><Relationship Id="rId25" Type="http://schemas.openxmlformats.org/officeDocument/2006/relationships/chartsheet" Target="chartsheets/sheet25.xml"/><Relationship Id="rId33" Type="http://schemas.openxmlformats.org/officeDocument/2006/relationships/worksheet" Target="worksheets/sheet1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0.xml"/><Relationship Id="rId1" Type="http://schemas.openxmlformats.org/officeDocument/2006/relationships/themeOverride" Target="../theme/themeOverride7.xml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1.xml"/><Relationship Id="rId1" Type="http://schemas.openxmlformats.org/officeDocument/2006/relationships/themeOverride" Target="../theme/themeOverride8.xml"/></Relationships>
</file>

<file path=xl/charts/_rels/chart1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3.xml"/><Relationship Id="rId1" Type="http://schemas.openxmlformats.org/officeDocument/2006/relationships/themeOverride" Target="../theme/themeOverride9.xml"/></Relationships>
</file>

<file path=xl/charts/_rels/chart1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5.xml"/><Relationship Id="rId1" Type="http://schemas.openxmlformats.org/officeDocument/2006/relationships/themeOverride" Target="../theme/themeOverride10.xml"/></Relationships>
</file>

<file path=xl/charts/_rels/chart2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7.xml"/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8.xml"/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9.xml"/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1.xml"/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2.xml"/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4.xml"/><Relationship Id="rId1" Type="http://schemas.openxmlformats.org/officeDocument/2006/relationships/themeOverride" Target="../theme/themeOverride1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2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5.xml"/><Relationship Id="rId1" Type="http://schemas.openxmlformats.org/officeDocument/2006/relationships/themeOverride" Target="../theme/themeOverride19.xml"/></Relationships>
</file>

<file path=xl/charts/_rels/chart2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6.xml"/><Relationship Id="rId1" Type="http://schemas.openxmlformats.org/officeDocument/2006/relationships/themeOverride" Target="../theme/themeOverride20.xml"/></Relationships>
</file>

<file path=xl/charts/_rels/chart3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8.xml"/><Relationship Id="rId1" Type="http://schemas.openxmlformats.org/officeDocument/2006/relationships/themeOverride" Target="../theme/themeOverride21.xml"/></Relationships>
</file>

<file path=xl/charts/_rels/chart3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9.xml"/><Relationship Id="rId1" Type="http://schemas.openxmlformats.org/officeDocument/2006/relationships/themeOverride" Target="../theme/themeOverride22.xml"/></Relationships>
</file>

<file path=xl/charts/_rels/chart3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0.xml"/><Relationship Id="rId1" Type="http://schemas.openxmlformats.org/officeDocument/2006/relationships/themeOverride" Target="../theme/themeOverride23.xml"/></Relationships>
</file>

<file path=xl/charts/_rels/chart3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1.xml"/><Relationship Id="rId1" Type="http://schemas.openxmlformats.org/officeDocument/2006/relationships/themeOverride" Target="../theme/themeOverride24.xml"/></Relationships>
</file>

<file path=xl/charts/_rels/chart3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2.xml"/><Relationship Id="rId1" Type="http://schemas.openxmlformats.org/officeDocument/2006/relationships/themeOverride" Target="../theme/themeOverrid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4.xml"/><Relationship Id="rId1" Type="http://schemas.openxmlformats.org/officeDocument/2006/relationships/themeOverride" Target="../theme/themeOverride26.xml"/></Relationships>
</file>

<file path=xl/charts/_rels/chart3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5.xml"/><Relationship Id="rId1" Type="http://schemas.openxmlformats.org/officeDocument/2006/relationships/themeOverride" Target="../theme/themeOverride27.xml"/></Relationships>
</file>

<file path=xl/charts/_rels/chart3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6.xml"/><Relationship Id="rId1" Type="http://schemas.openxmlformats.org/officeDocument/2006/relationships/themeOverride" Target="../theme/themeOverride28.xml"/></Relationships>
</file>

<file path=xl/charts/_rels/chart3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7.xml"/><Relationship Id="rId1" Type="http://schemas.openxmlformats.org/officeDocument/2006/relationships/themeOverride" Target="../theme/themeOverride29.xml"/></Relationships>
</file>

<file path=xl/charts/_rels/chart4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8.xml"/><Relationship Id="rId1" Type="http://schemas.openxmlformats.org/officeDocument/2006/relationships/themeOverride" Target="../theme/themeOverride3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0.xml"/><Relationship Id="rId1" Type="http://schemas.openxmlformats.org/officeDocument/2006/relationships/themeOverride" Target="../theme/themeOverride31.xml"/></Relationships>
</file>

<file path=xl/charts/_rels/chart4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1.xml"/><Relationship Id="rId1" Type="http://schemas.openxmlformats.org/officeDocument/2006/relationships/themeOverride" Target="../theme/themeOverride32.xml"/></Relationships>
</file>

<file path=xl/charts/_rels/chart4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2.xml"/><Relationship Id="rId1" Type="http://schemas.openxmlformats.org/officeDocument/2006/relationships/themeOverride" Target="../theme/themeOverride33.xml"/></Relationships>
</file>

<file path=xl/charts/_rels/chart4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3.xml"/><Relationship Id="rId1" Type="http://schemas.openxmlformats.org/officeDocument/2006/relationships/themeOverride" Target="../theme/themeOverride34.xml"/></Relationships>
</file>

<file path=xl/charts/_rels/chart4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4.xml"/><Relationship Id="rId1" Type="http://schemas.openxmlformats.org/officeDocument/2006/relationships/themeOverride" Target="../theme/themeOverride3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6.xml"/></Relationships>
</file>

<file path=xl/charts/_rels/chart4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7.xml"/><Relationship Id="rId1" Type="http://schemas.openxmlformats.org/officeDocument/2006/relationships/themeOverride" Target="../theme/themeOverride37.xml"/></Relationships>
</file>

<file path=xl/charts/_rels/chart5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8.xml"/><Relationship Id="rId1" Type="http://schemas.openxmlformats.org/officeDocument/2006/relationships/themeOverride" Target="../theme/themeOverride38.xml"/></Relationships>
</file>

<file path=xl/charts/_rels/chart5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9.xml"/><Relationship Id="rId1" Type="http://schemas.openxmlformats.org/officeDocument/2006/relationships/themeOverride" Target="../theme/themeOverride39.xml"/></Relationships>
</file>

<file path=xl/charts/_rels/chart5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0.xml"/><Relationship Id="rId1" Type="http://schemas.openxmlformats.org/officeDocument/2006/relationships/themeOverride" Target="../theme/themeOverride40.xml"/></Relationships>
</file>

<file path=xl/charts/_rels/chart5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1.xml"/><Relationship Id="rId1" Type="http://schemas.openxmlformats.org/officeDocument/2006/relationships/themeOverride" Target="../theme/themeOverride4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5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3.xml"/><Relationship Id="rId1" Type="http://schemas.openxmlformats.org/officeDocument/2006/relationships/themeOverride" Target="../theme/themeOverride42.xml"/></Relationships>
</file>

<file path=xl/charts/_rels/chart5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4.xml"/><Relationship Id="rId1" Type="http://schemas.openxmlformats.org/officeDocument/2006/relationships/themeOverride" Target="../theme/themeOverride43.xml"/></Relationships>
</file>

<file path=xl/charts/_rels/chart5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5.xml"/><Relationship Id="rId1" Type="http://schemas.openxmlformats.org/officeDocument/2006/relationships/themeOverride" Target="../theme/themeOverride44.xml"/></Relationships>
</file>

<file path=xl/charts/_rels/chart5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6.xml"/><Relationship Id="rId1" Type="http://schemas.openxmlformats.org/officeDocument/2006/relationships/themeOverride" Target="../theme/themeOverride45.xml"/></Relationships>
</file>

<file path=xl/charts/_rels/chart5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7.xml"/><Relationship Id="rId1" Type="http://schemas.openxmlformats.org/officeDocument/2006/relationships/themeOverride" Target="../theme/themeOverride4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6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9.xml"/><Relationship Id="rId1" Type="http://schemas.openxmlformats.org/officeDocument/2006/relationships/themeOverride" Target="../theme/themeOverride47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8.xml"/></Relationships>
</file>

<file path=xl/charts/_rels/chart6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1.xml"/><Relationship Id="rId1" Type="http://schemas.openxmlformats.org/officeDocument/2006/relationships/themeOverride" Target="../theme/themeOverride49.xml"/></Relationships>
</file>

<file path=xl/charts/_rels/chart6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2.xml"/><Relationship Id="rId1" Type="http://schemas.openxmlformats.org/officeDocument/2006/relationships/themeOverride" Target="../theme/themeOverride50.xml"/></Relationships>
</file>

<file path=xl/charts/_rels/chart6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3.xml"/><Relationship Id="rId1" Type="http://schemas.openxmlformats.org/officeDocument/2006/relationships/themeOverride" Target="../theme/themeOverride51.xml"/></Relationships>
</file>

<file path=xl/charts/_rels/chart6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4.xml"/><Relationship Id="rId1" Type="http://schemas.openxmlformats.org/officeDocument/2006/relationships/themeOverride" Target="../theme/themeOverride52.xml"/></Relationships>
</file>

<file path=xl/charts/_rels/chart6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5.xml"/><Relationship Id="rId1" Type="http://schemas.openxmlformats.org/officeDocument/2006/relationships/themeOverride" Target="../theme/themeOverride53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7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7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0.xml"/><Relationship Id="rId1" Type="http://schemas.openxmlformats.org/officeDocument/2006/relationships/themeOverride" Target="../theme/themeOverride54.xml"/></Relationships>
</file>

<file path=xl/charts/_rels/chart7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1.xml"/><Relationship Id="rId1" Type="http://schemas.openxmlformats.org/officeDocument/2006/relationships/themeOverride" Target="../theme/themeOverride55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7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2.xml"/><Relationship Id="rId1" Type="http://schemas.openxmlformats.org/officeDocument/2006/relationships/themeOverride" Target="../theme/themeOverride56.xml"/></Relationships>
</file>

<file path=xl/charts/_rels/chart7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7.xml"/></Relationships>
</file>

<file path=xl/charts/_rels/chart7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8.xml"/></Relationships>
</file>

<file path=xl/charts/_rels/chart7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6.xml"/><Relationship Id="rId1" Type="http://schemas.openxmlformats.org/officeDocument/2006/relationships/themeOverride" Target="../theme/themeOverride59.xml"/></Relationships>
</file>

<file path=xl/charts/_rels/chart7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7.xml"/><Relationship Id="rId1" Type="http://schemas.openxmlformats.org/officeDocument/2006/relationships/themeOverride" Target="../theme/themeOverride60.xml"/></Relationships>
</file>

<file path=xl/charts/_rels/chart8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9.xml"/><Relationship Id="rId1" Type="http://schemas.openxmlformats.org/officeDocument/2006/relationships/themeOverride" Target="../theme/themeOverride61.xml"/></Relationships>
</file>

<file path=xl/charts/_rels/chart8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0.xml"/><Relationship Id="rId1" Type="http://schemas.openxmlformats.org/officeDocument/2006/relationships/themeOverride" Target="../theme/themeOverride62.xml"/></Relationships>
</file>

<file path=xl/charts/_rels/chart8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1.xml"/><Relationship Id="rId1" Type="http://schemas.openxmlformats.org/officeDocument/2006/relationships/themeOverride" Target="../theme/themeOverride63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Approval of women marrying</a:t>
            </a:r>
            <a:r>
              <a:rPr lang="en-US" b="1" baseline="0">
                <a:solidFill>
                  <a:sysClr val="windowText" lastClr="000000"/>
                </a:solidFill>
              </a:rPr>
              <a:t> following nationalities</a:t>
            </a:r>
          </a:p>
          <a:p>
            <a:pPr>
              <a:defRPr b="1">
                <a:solidFill>
                  <a:sysClr val="windowText" lastClr="000000"/>
                </a:solidFill>
              </a:defRPr>
            </a:pPr>
            <a:r>
              <a:rPr lang="en-US" b="1" baseline="0">
                <a:solidFill>
                  <a:sysClr val="windowText" lastClr="000000"/>
                </a:solidFill>
              </a:rPr>
              <a:t>Caucasus Barometer, Georgia, 2019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9473501249798767"/>
          <c:y val="0.15391423776342286"/>
          <c:w val="0.68912028473847142"/>
          <c:h val="0.7775634467801054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02F-41FE-AEEA-9AD9CF242D2A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02F-41FE-AEEA-9AD9CF24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18844480"/>
        <c:axId val="132843712"/>
      </c:barChart>
      <c:catAx>
        <c:axId val="318844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43712"/>
        <c:crosses val="autoZero"/>
        <c:auto val="1"/>
        <c:lblAlgn val="ctr"/>
        <c:lblOffset val="100"/>
        <c:noMultiLvlLbl val="0"/>
      </c:catAx>
      <c:valAx>
        <c:axId val="13284371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1884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54722706929267"/>
          <c:y val="9.8087410413810666E-2"/>
          <c:w val="0.20156153006732988"/>
          <c:h val="4.1310841654756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Approval of doing business with</a:t>
            </a:r>
            <a:r>
              <a:rPr lang="en-US" b="1" baseline="0">
                <a:solidFill>
                  <a:sysClr val="windowText" lastClr="000000"/>
                </a:solidFill>
              </a:rPr>
              <a:t> following nationalities</a:t>
            </a:r>
          </a:p>
          <a:p>
            <a:pPr>
              <a:defRPr b="1">
                <a:solidFill>
                  <a:sysClr val="windowText" lastClr="000000"/>
                </a:solidFill>
              </a:defRPr>
            </a:pPr>
            <a:r>
              <a:rPr lang="en-US" b="1" baseline="0">
                <a:solidFill>
                  <a:sysClr val="windowText" lastClr="000000"/>
                </a:solidFill>
              </a:rPr>
              <a:t>Caucasus Barometer, Georgia, 2019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9473501249798767"/>
          <c:y val="0.15391423776342286"/>
          <c:w val="0.63195719817368834"/>
          <c:h val="0.7775634467801054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877-4294-8490-A3DAC2DC761E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877-4294-8490-A3DAC2DC7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21351776"/>
        <c:axId val="321353736"/>
      </c:barChart>
      <c:catAx>
        <c:axId val="3213517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53736"/>
        <c:crosses val="autoZero"/>
        <c:auto val="1"/>
        <c:lblAlgn val="ctr"/>
        <c:lblOffset val="100"/>
        <c:noMultiLvlLbl val="0"/>
      </c:catAx>
      <c:valAx>
        <c:axId val="32135373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2135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54722706929267"/>
          <c:y val="9.8087410413810666E-2"/>
          <c:w val="0.20156153006732988"/>
          <c:h val="4.1310841654756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000" b="1" i="0" kern="1200" spc="0" baseline="0">
                <a:solidFill>
                  <a:srgbClr val="000000"/>
                </a:solidFill>
                <a:effectLst/>
                <a:latin typeface="BPG SSP Crystal Caps" panose="020B0503030403020204" pitchFamily="34" charset="0"/>
              </a:rPr>
              <a:t>ზოგადად, რამდენად ბედნიერი ხართ?</a:t>
            </a:r>
            <a:endParaRPr lang="en-US" sz="2000">
              <a:effectLst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en-US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ს</a:t>
            </a:r>
            <a:r>
              <a:rPr lang="ka-GE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იხშირე და საშუალო მაჩვენებელი 95%-იანი სანდოობის ინტერვალით</a:t>
            </a:r>
            <a:r>
              <a:rPr lang="en-US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. </a:t>
            </a:r>
            <a:r>
              <a:rPr lang="ka-GE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ვარიანტები ,,არ ვიცი'' და ,,უარი პასუხზე" დიაგრამაზე დატანილი არაა</a:t>
            </a:r>
            <a:endParaRPr lang="en-US" sz="1400">
              <a:effectLst/>
            </a:endParaRPr>
          </a:p>
        </c:rich>
      </c:tx>
      <c:layout>
        <c:manualLayout>
          <c:xMode val="edge"/>
          <c:yMode val="edge"/>
          <c:x val="2.0933714522998286E-2"/>
          <c:y val="4.1786947355288828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0317167414981179E-2"/>
          <c:y val="0.2228843527932251"/>
          <c:w val="0.67915506242215562"/>
          <c:h val="0.69308760189546592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93003A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908-4AE5-B5D8-AB4680B4BD2F}"/>
            </c:ext>
          </c:extLst>
        </c:ser>
        <c:ser>
          <c:idx val="2"/>
          <c:order val="1"/>
          <c:spPr>
            <a:solidFill>
              <a:srgbClr val="C52A52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8908-4AE5-B5D8-AB4680B4BD2F}"/>
            </c:ext>
          </c:extLst>
        </c:ser>
        <c:ser>
          <c:idx val="1"/>
          <c:order val="2"/>
          <c:spPr>
            <a:solidFill>
              <a:srgbClr val="E75D6F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8908-4AE5-B5D8-AB4680B4BD2F}"/>
            </c:ext>
          </c:extLst>
        </c:ser>
        <c:ser>
          <c:idx val="3"/>
          <c:order val="3"/>
          <c:spPr>
            <a:solidFill>
              <a:srgbClr val="FD9291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8908-4AE5-B5D8-AB4680B4BD2F}"/>
            </c:ext>
          </c:extLst>
        </c:ser>
        <c:ser>
          <c:idx val="4"/>
          <c:order val="4"/>
          <c:spPr>
            <a:solidFill>
              <a:srgbClr val="FFCAB9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8908-4AE5-B5D8-AB4680B4BD2F}"/>
            </c:ext>
          </c:extLst>
        </c:ser>
        <c:ser>
          <c:idx val="5"/>
          <c:order val="5"/>
          <c:spPr>
            <a:solidFill>
              <a:srgbClr val="B1DFDB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8908-4AE5-B5D8-AB4680B4BD2F}"/>
            </c:ext>
          </c:extLst>
        </c:ser>
        <c:ser>
          <c:idx val="6"/>
          <c:order val="6"/>
          <c:spPr>
            <a:solidFill>
              <a:srgbClr val="85B7C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908-4AE5-B5D8-AB4680B4BD2F}"/>
            </c:ext>
          </c:extLst>
        </c:ser>
        <c:ser>
          <c:idx val="7"/>
          <c:order val="7"/>
          <c:spPr>
            <a:solidFill>
              <a:srgbClr val="618FBF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8908-4AE5-B5D8-AB4680B4BD2F}"/>
            </c:ext>
          </c:extLst>
        </c:ser>
        <c:ser>
          <c:idx val="8"/>
          <c:order val="8"/>
          <c:spPr>
            <a:solidFill>
              <a:srgbClr val="3E67A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8908-4AE5-B5D8-AB4680B4BD2F}"/>
            </c:ext>
          </c:extLst>
        </c:ser>
        <c:ser>
          <c:idx val="9"/>
          <c:order val="9"/>
          <c:spPr>
            <a:solidFill>
              <a:srgbClr val="00429D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8908-4AE5-B5D8-AB4680B4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1354912"/>
        <c:axId val="321352168"/>
      </c:barChart>
      <c:lineChart>
        <c:grouping val="standard"/>
        <c:varyColors val="0"/>
        <c:ser>
          <c:idx val="10"/>
          <c:order val="10"/>
          <c:spPr>
            <a:ln>
              <a:noFill/>
            </a:ln>
          </c:spPr>
          <c:marker>
            <c:symbol val="circle"/>
            <c:size val="13"/>
            <c:spPr>
              <a:solidFill>
                <a:srgbClr val="6E0000"/>
              </a:solidFill>
              <a:ln>
                <a:solidFill>
                  <a:srgbClr val="6E0000"/>
                </a:solidFill>
                <a:prstDash val="solid"/>
              </a:ln>
            </c:spPr>
          </c:marker>
          <c:dLbls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C549-4BC6-8C03-49A56DA24288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latin typeface="Gill Sans MT" panose="020B0502020104020203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549-4BC6-8C03-49A56DA24288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50800">
                <a:solidFill>
                  <a:srgbClr val="6E0000"/>
                </a:solidFill>
              </a:ln>
            </c:spPr>
          </c:errBar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98-4A94-A4C1-20E6BAB46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354128"/>
        <c:axId val="321353344"/>
      </c:lineChart>
      <c:catAx>
        <c:axId val="32135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21352168"/>
        <c:crossesAt val="0"/>
        <c:auto val="1"/>
        <c:lblAlgn val="ctr"/>
        <c:lblOffset val="100"/>
        <c:noMultiLvlLbl val="0"/>
      </c:catAx>
      <c:valAx>
        <c:axId val="321352168"/>
        <c:scaling>
          <c:orientation val="minMax"/>
          <c:max val="100"/>
        </c:scaling>
        <c:delete val="0"/>
        <c:axPos val="l"/>
        <c:numFmt formatCode="General" sourceLinked="1"/>
        <c:majorTickMark val="out"/>
        <c:minorTickMark val="none"/>
        <c:tickLblPos val="nextTo"/>
        <c:crossAx val="321354912"/>
        <c:crosses val="autoZero"/>
        <c:crossBetween val="between"/>
      </c:valAx>
      <c:valAx>
        <c:axId val="321353344"/>
        <c:scaling>
          <c:orientation val="minMax"/>
          <c:max val="10"/>
          <c:min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ysClr val="window" lastClr="FFFFFF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321354128"/>
        <c:crosses val="max"/>
        <c:crossBetween val="between"/>
      </c:valAx>
      <c:catAx>
        <c:axId val="321354128"/>
        <c:scaling>
          <c:orientation val="minMax"/>
        </c:scaling>
        <c:delete val="1"/>
        <c:axPos val="b"/>
        <c:majorTickMark val="out"/>
        <c:minorTickMark val="none"/>
        <c:tickLblPos val="nextTo"/>
        <c:crossAx val="32135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0317167414981179E-2"/>
          <c:y val="0.2673446463616474"/>
          <c:w val="0.67915506242215562"/>
          <c:h val="0.64862730832704374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6E0000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135-485A-B90A-C743430CE610}"/>
            </c:ext>
          </c:extLst>
        </c:ser>
        <c:ser>
          <c:idx val="2"/>
          <c:order val="1"/>
          <c:spPr>
            <a:solidFill>
              <a:srgbClr val="A02A16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135-485A-B90A-C743430CE610}"/>
            </c:ext>
          </c:extLst>
        </c:ser>
        <c:ser>
          <c:idx val="1"/>
          <c:order val="2"/>
          <c:spPr>
            <a:solidFill>
              <a:srgbClr val="CF532D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B135-485A-B90A-C743430CE610}"/>
            </c:ext>
          </c:extLst>
        </c:ser>
        <c:ser>
          <c:idx val="3"/>
          <c:order val="3"/>
          <c:spPr>
            <a:solidFill>
              <a:srgbClr val="EE865B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B135-485A-B90A-C743430CE610}"/>
            </c:ext>
          </c:extLst>
        </c:ser>
        <c:ser>
          <c:idx val="4"/>
          <c:order val="4"/>
          <c:spPr>
            <a:solidFill>
              <a:srgbClr val="FCBD9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B135-485A-B90A-C743430CE610}"/>
            </c:ext>
          </c:extLst>
        </c:ser>
        <c:ser>
          <c:idx val="5"/>
          <c:order val="5"/>
          <c:spPr>
            <a:solidFill>
              <a:srgbClr val="D5BFFD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B135-485A-B90A-C743430CE610}"/>
            </c:ext>
          </c:extLst>
        </c:ser>
        <c:ser>
          <c:idx val="6"/>
          <c:order val="6"/>
          <c:spPr>
            <a:solidFill>
              <a:srgbClr val="AA96D1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B135-485A-B90A-C743430CE610}"/>
            </c:ext>
          </c:extLst>
        </c:ser>
        <c:ser>
          <c:idx val="7"/>
          <c:order val="7"/>
          <c:spPr>
            <a:solidFill>
              <a:srgbClr val="806EA7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B135-485A-B90A-C743430CE610}"/>
            </c:ext>
          </c:extLst>
        </c:ser>
        <c:ser>
          <c:idx val="8"/>
          <c:order val="8"/>
          <c:spPr>
            <a:solidFill>
              <a:srgbClr val="59497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B135-485A-B90A-C743430CE610}"/>
            </c:ext>
          </c:extLst>
        </c:ser>
        <c:ser>
          <c:idx val="9"/>
          <c:order val="9"/>
          <c:spPr>
            <a:solidFill>
              <a:srgbClr val="332658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B135-485A-B90A-C743430CE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1352952"/>
        <c:axId val="357512168"/>
      </c:barChart>
      <c:lineChart>
        <c:grouping val="standard"/>
        <c:varyColors val="0"/>
        <c:ser>
          <c:idx val="10"/>
          <c:order val="10"/>
          <c:spPr>
            <a:ln w="28575">
              <a:noFill/>
            </a:ln>
          </c:spPr>
          <c:marker>
            <c:symbol val="circle"/>
            <c:size val="13"/>
            <c:spPr>
              <a:solidFill>
                <a:srgbClr val="00429D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50800">
                <a:solidFill>
                  <a:srgbClr val="00429D"/>
                </a:solidFill>
              </a:ln>
            </c:spPr>
          </c:errBar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35-485A-B90A-C743430CE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513736"/>
        <c:axId val="357518440"/>
      </c:lineChart>
      <c:catAx>
        <c:axId val="321352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57512168"/>
        <c:crossesAt val="0"/>
        <c:auto val="1"/>
        <c:lblAlgn val="ctr"/>
        <c:lblOffset val="100"/>
        <c:noMultiLvlLbl val="0"/>
      </c:catAx>
      <c:valAx>
        <c:axId val="357512168"/>
        <c:scaling>
          <c:orientation val="minMax"/>
          <c:max val="100"/>
        </c:scaling>
        <c:delete val="0"/>
        <c:axPos val="l"/>
        <c:numFmt formatCode="General" sourceLinked="1"/>
        <c:majorTickMark val="out"/>
        <c:minorTickMark val="none"/>
        <c:tickLblPos val="nextTo"/>
        <c:crossAx val="321352952"/>
        <c:crosses val="autoZero"/>
        <c:crossBetween val="between"/>
      </c:valAx>
      <c:valAx>
        <c:axId val="357518440"/>
        <c:scaling>
          <c:orientation val="minMax"/>
          <c:max val="10"/>
          <c:min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ysClr val="window" lastClr="FFFFFF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357513736"/>
        <c:crosses val="max"/>
        <c:crossBetween val="between"/>
      </c:valAx>
      <c:catAx>
        <c:axId val="357513736"/>
        <c:scaling>
          <c:orientation val="minMax"/>
        </c:scaling>
        <c:delete val="1"/>
        <c:axPos val="b"/>
        <c:majorTickMark val="out"/>
        <c:minorTickMark val="none"/>
        <c:tickLblPos val="nextTo"/>
        <c:crossAx val="3575184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kern="1200" spc="0" baseline="0">
                <a:solidFill>
                  <a:srgbClr val="000000"/>
                </a:solidFill>
                <a:effectLst/>
                <a:latin typeface="BPG SSP Crystal Caps" panose="020B0503030403020204" pitchFamily="34" charset="0"/>
              </a:rPr>
              <a:t>ფატალიზმის აღქმა</a:t>
            </a:r>
            <a:endParaRPr lang="en-US" sz="1800">
              <a:effectLst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სიხშირე საშუალო მაჩვენებელი 95%-იანი სანდოობის ინტერვალით. ვარიანტები ,,არ ვიცი'' და ,,უარი პასუხზე" დიაგრამაზე დატანილი არაა</a:t>
            </a:r>
          </a:p>
        </c:rich>
      </c:tx>
      <c:layout>
        <c:manualLayout>
          <c:xMode val="edge"/>
          <c:yMode val="edge"/>
          <c:x val="7.7349569383316618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0317167414981179E-2"/>
          <c:y val="0.2228843527932251"/>
          <c:w val="0.67915506242215562"/>
          <c:h val="0.69308760189546592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6E0000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26A-41E8-950A-8E3FBA755380}"/>
            </c:ext>
          </c:extLst>
        </c:ser>
        <c:ser>
          <c:idx val="2"/>
          <c:order val="1"/>
          <c:spPr>
            <a:solidFill>
              <a:srgbClr val="A02A16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26A-41E8-950A-8E3FBA755380}"/>
            </c:ext>
          </c:extLst>
        </c:ser>
        <c:ser>
          <c:idx val="1"/>
          <c:order val="2"/>
          <c:spPr>
            <a:solidFill>
              <a:srgbClr val="CF532D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26A-41E8-950A-8E3FBA755380}"/>
            </c:ext>
          </c:extLst>
        </c:ser>
        <c:ser>
          <c:idx val="3"/>
          <c:order val="3"/>
          <c:spPr>
            <a:solidFill>
              <a:srgbClr val="EE865B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26A-41E8-950A-8E3FBA755380}"/>
            </c:ext>
          </c:extLst>
        </c:ser>
        <c:ser>
          <c:idx val="4"/>
          <c:order val="4"/>
          <c:spPr>
            <a:solidFill>
              <a:srgbClr val="FCBD9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26A-41E8-950A-8E3FBA755380}"/>
            </c:ext>
          </c:extLst>
        </c:ser>
        <c:ser>
          <c:idx val="5"/>
          <c:order val="5"/>
          <c:spPr>
            <a:solidFill>
              <a:srgbClr val="D5BFFD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26A-41E8-950A-8E3FBA755380}"/>
            </c:ext>
          </c:extLst>
        </c:ser>
        <c:ser>
          <c:idx val="6"/>
          <c:order val="6"/>
          <c:spPr>
            <a:solidFill>
              <a:srgbClr val="AA96D1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26A-41E8-950A-8E3FBA755380}"/>
            </c:ext>
          </c:extLst>
        </c:ser>
        <c:ser>
          <c:idx val="7"/>
          <c:order val="7"/>
          <c:spPr>
            <a:solidFill>
              <a:srgbClr val="806EA7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26A-41E8-950A-8E3FBA755380}"/>
            </c:ext>
          </c:extLst>
        </c:ser>
        <c:ser>
          <c:idx val="8"/>
          <c:order val="8"/>
          <c:spPr>
            <a:solidFill>
              <a:srgbClr val="59497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26A-41E8-950A-8E3FBA755380}"/>
            </c:ext>
          </c:extLst>
        </c:ser>
        <c:ser>
          <c:idx val="9"/>
          <c:order val="9"/>
          <c:spPr>
            <a:solidFill>
              <a:srgbClr val="332658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26A-41E8-950A-8E3FBA755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7513344"/>
        <c:axId val="357514128"/>
      </c:barChart>
      <c:lineChart>
        <c:grouping val="standard"/>
        <c:varyColors val="0"/>
        <c:ser>
          <c:idx val="12"/>
          <c:order val="10"/>
          <c:spPr>
            <a:ln w="28575">
              <a:noFill/>
            </a:ln>
          </c:spPr>
          <c:marker>
            <c:symbol val="circle"/>
            <c:size val="13"/>
            <c:spPr>
              <a:solidFill>
                <a:srgbClr val="00429D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38100">
                <a:solidFill>
                  <a:srgbClr val="00429D"/>
                </a:solidFill>
              </a:ln>
            </c:spPr>
          </c:errBar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E-D26A-41E8-950A-8E3FBA755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514520"/>
        <c:axId val="357511776"/>
      </c:lineChart>
      <c:catAx>
        <c:axId val="35751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57514128"/>
        <c:crossesAt val="0"/>
        <c:auto val="1"/>
        <c:lblAlgn val="ctr"/>
        <c:lblOffset val="100"/>
        <c:noMultiLvlLbl val="0"/>
      </c:catAx>
      <c:valAx>
        <c:axId val="357514128"/>
        <c:scaling>
          <c:orientation val="minMax"/>
          <c:max val="100"/>
        </c:scaling>
        <c:delete val="0"/>
        <c:axPos val="l"/>
        <c:numFmt formatCode="General" sourceLinked="1"/>
        <c:majorTickMark val="out"/>
        <c:minorTickMark val="none"/>
        <c:tickLblPos val="nextTo"/>
        <c:crossAx val="357513344"/>
        <c:crosses val="autoZero"/>
        <c:crossBetween val="between"/>
      </c:valAx>
      <c:valAx>
        <c:axId val="357511776"/>
        <c:scaling>
          <c:orientation val="minMax"/>
          <c:max val="10"/>
          <c:min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ysClr val="window" lastClr="FFFFFF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357514520"/>
        <c:crosses val="max"/>
        <c:crossBetween val="between"/>
      </c:valAx>
      <c:catAx>
        <c:axId val="357514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7511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458764333007771"/>
          <c:y val="0.29163183758021433"/>
          <c:w val="0.70088418922590023"/>
          <c:h val="0.61223208655149319"/>
        </c:manualLayout>
      </c:layout>
      <c:barChart>
        <c:barDir val="bar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57516088"/>
        <c:axId val="357517656"/>
      </c:barChart>
      <c:catAx>
        <c:axId val="35751608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57517656"/>
        <c:crossesAt val="0"/>
        <c:auto val="1"/>
        <c:lblAlgn val="ctr"/>
        <c:lblOffset val="100"/>
        <c:noMultiLvlLbl val="0"/>
      </c:catAx>
      <c:valAx>
        <c:axId val="3575176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7516088"/>
        <c:crosses val="max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ზოგადად, როგორ შეაფასებდით თქვენი ჯანმრთელობის მდგომარეობას? როგორც...</a:t>
            </a:r>
            <a:endParaRPr lang="en-US" sz="1800" b="1" i="0" u="none" strike="noStrike" baseline="0">
              <a:effectLst/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2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ვარიანტები ,,არ ვიცი'' და ,,უარი პასუხზე" დიაგრამაზე დატანილი არაა</a:t>
            </a:r>
            <a:endParaRPr lang="ka-GE" sz="1200" b="1" i="0" u="none" strike="noStrike" baseline="0"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993271058600403"/>
          <c:y val="0.24716629279601621"/>
          <c:w val="0.30635863714917916"/>
          <c:h val="0.6688231659452610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93003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341-4EB3-95DE-C84C5A5E244C}"/>
            </c:ext>
          </c:extLst>
        </c:ser>
        <c:ser>
          <c:idx val="1"/>
          <c:order val="1"/>
          <c:spPr>
            <a:solidFill>
              <a:srgbClr val="F4777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341-4EB3-95DE-C84C5A5E2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57510992"/>
        <c:axId val="357518048"/>
      </c:barChart>
      <c:catAx>
        <c:axId val="35751099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57518048"/>
        <c:crossesAt val="0"/>
        <c:auto val="1"/>
        <c:lblAlgn val="ctr"/>
        <c:lblOffset val="100"/>
        <c:noMultiLvlLbl val="0"/>
      </c:catAx>
      <c:valAx>
        <c:axId val="357518048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57510992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2988885377677049E-2"/>
          <c:y val="0.12727186667943743"/>
          <c:w val="0.31753884976166447"/>
          <c:h val="6.808805938774961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99196985291106E-2"/>
          <c:y val="0.25063440203674797"/>
          <c:w val="0.90044626875052947"/>
          <c:h val="0.6742037487807967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F4FBB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108-4483-96C4-F011DCB5A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57511384"/>
        <c:axId val="357515696"/>
      </c:barChart>
      <c:catAx>
        <c:axId val="3575113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57515696"/>
        <c:crosses val="autoZero"/>
        <c:auto val="1"/>
        <c:lblAlgn val="ctr"/>
        <c:lblOffset val="100"/>
        <c:noMultiLvlLbl val="0"/>
      </c:catAx>
      <c:valAx>
        <c:axId val="3575156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57511384"/>
        <c:crosses val="autoZero"/>
        <c:crossBetween val="between"/>
        <c:majorUnit val="50"/>
      </c:val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1.2840014391822424E-2"/>
          <c:y val="0.12819133598208166"/>
          <c:w val="0.78905462778172075"/>
          <c:h val="9.065043442948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8975064021744312"/>
          <c:y val="0.2491872152309445"/>
          <c:w val="0.70887992339805872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709FC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E14-447B-90AB-BEF4B4343A89}"/>
            </c:ext>
          </c:extLst>
        </c:ser>
        <c:ser>
          <c:idx val="1"/>
          <c:order val="1"/>
          <c:spPr>
            <a:solidFill>
              <a:srgbClr val="00429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E14-447B-90AB-BEF4B4343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57516480"/>
        <c:axId val="357516872"/>
      </c:barChart>
      <c:catAx>
        <c:axId val="357516480"/>
        <c:scaling>
          <c:orientation val="minMax"/>
        </c:scaling>
        <c:delete val="1"/>
        <c:axPos val="l"/>
        <c:numFmt formatCode="General" sourceLinked="1"/>
        <c:majorTickMark val="out"/>
        <c:minorTickMark val="out"/>
        <c:tickLblPos val="low"/>
        <c:crossAx val="357516872"/>
        <c:crossesAt val="0"/>
        <c:auto val="1"/>
        <c:lblAlgn val="ctr"/>
        <c:lblOffset val="100"/>
        <c:noMultiLvlLbl val="0"/>
      </c:catAx>
      <c:valAx>
        <c:axId val="357516872"/>
        <c:scaling>
          <c:orientation val="minMax"/>
          <c:max val="100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357516480"/>
        <c:crosses val="max"/>
        <c:crossBetween val="between"/>
      </c:val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6.6887748007378636E-2"/>
          <c:y val="0.13940973818680322"/>
          <c:w val="0.80865418840327463"/>
          <c:h val="6.4046214517893038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3199860424515"/>
          <c:y val="0.23472363241765676"/>
          <c:w val="0.88389405267602073"/>
          <c:h val="0.7369132845483185"/>
        </c:manualLayout>
      </c:layout>
      <c:scatterChart>
        <c:scatterStyle val="lineMarker"/>
        <c:varyColors val="0"/>
        <c:ser>
          <c:idx val="3"/>
          <c:order val="0"/>
          <c:tx>
            <c:strRef>
              <c:f>data!#REF!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124-4506-96B5-7436FE4F9407}"/>
            </c:ext>
          </c:extLst>
        </c:ser>
        <c:ser>
          <c:idx val="0"/>
          <c:order val="1"/>
          <c:tx>
            <c:v>ქორწინებას</c:v>
          </c:tx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83A5B4"/>
              </a:solidFill>
              <a:ln w="25400">
                <a:solidFill>
                  <a:srgbClr val="3F4D71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CDD-4A8A-9CB5-F90502ED0B8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E70-4F7C-AA6B-221C516A7EE1}"/>
                </c:ext>
              </c:extLst>
            </c:dLbl>
            <c:dLbl>
              <c:idx val="17"/>
              <c:layout>
                <c:manualLayout>
                  <c:x val="-5.7228914270554918E-2"/>
                  <c:y val="-6.0741689508571036E-3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916-4444-97C9-B5B792613AB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E70-4F7C-AA6B-221C516A7E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CE70-4F7C-AA6B-221C516A7E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CE70-4F7C-AA6B-221C516A7E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CE70-4F7C-AA6B-221C516A7E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CE70-4F7C-AA6B-221C516A7E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CE70-4F7C-AA6B-221C516A7E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CE70-4F7C-AA6B-221C516A7E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CE70-4F7C-AA6B-221C516A7E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CE70-4F7C-AA6B-221C516A7E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CE70-4F7C-AA6B-221C516A7E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CE70-4F7C-AA6B-221C516A7E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CE70-4F7C-AA6B-221C516A7E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CE70-4F7C-AA6B-221C516A7E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CE70-4F7C-AA6B-221C516A7E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EC257D1-5A2C-4BF8-A149-CA8732C030A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CDD-4A8A-9CB5-F90502ED0B8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FE12C4-4C47-481A-8D9B-4477AA48E42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CDD-4A8A-9CB5-F90502ED0B8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F3D166-85D6-4CF4-9C3C-ED6F1CDEFBE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CDD-4A8A-9CB5-F90502ED0B8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2018E69-4A7F-4CA8-A72E-EA4DB4C2969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CDD-4A8A-9CB5-F90502ED0B8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E0662F-271D-4CE1-912B-B971788E489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CDD-4A8A-9CB5-F90502ED0B8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09B913B-6753-4611-BAC9-81D1CC892C1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ECDD-4A8A-9CB5-F90502ED0B8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9EB7B1-D59E-4D82-AF65-D4769B6A38E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CDD-4A8A-9CB5-F90502ED0B8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937EF6-47C9-40C5-A518-B40402A86B0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ECDD-4A8A-9CB5-F90502ED0B8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52F8B2-DB64-4388-9578-CDF004A1EEF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CDD-4A8A-9CB5-F90502ED0B8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B2BFE7B-AC78-48E1-8FE8-A7A74E17C77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ECDD-4A8A-9CB5-F90502ED0B8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1E0C4F7-6BA2-45E0-AF1F-5C78B390684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CDD-4A8A-9CB5-F90502ED0B8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D0E0646-7DC3-49AC-ACA3-364DBC6809C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ECDD-4A8A-9CB5-F90502ED0B8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7A0CF0-2343-4994-897C-5AE09A93198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CDD-4A8A-9CB5-F90502ED0B8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69AB5A4-E485-4061-BE5F-7D583AC0E42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ECDD-4A8A-9CB5-F90502ED0B8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E1F694-ED87-439A-8753-3F56561CE1B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CDD-4A8A-9CB5-F90502ED0B8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611D63A-1BD0-43DF-85E8-F1AD40BBC2C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ECDD-4A8A-9CB5-F90502ED0B8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F132B4-D815-494A-9EA3-8AF6CD47033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CDD-4A8A-9CB5-F90502ED0B8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CE70-4F7C-AA6B-221C516A7E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CE70-4F7C-AA6B-221C516A7E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CE70-4F7C-AA6B-221C516A7E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CE70-4F7C-AA6B-221C516A7E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CE70-4F7C-AA6B-221C516A7E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rgbClr val="332658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124-4506-96B5-7436FE4F9407}"/>
            </c:ext>
          </c:extLst>
        </c:ser>
        <c:ser>
          <c:idx val="1"/>
          <c:order val="2"/>
          <c:tx>
            <c:v>საქმიან ურთიერთობას</c:v>
          </c:tx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A5D7D0"/>
              </a:solidFill>
              <a:ln w="25400">
                <a:solidFill>
                  <a:srgbClr val="55AE95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CDD-4A8A-9CB5-F90502ED0B8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CE70-4F7C-AA6B-221C516A7E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CE70-4F7C-AA6B-221C516A7E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CE70-4F7C-AA6B-221C516A7E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CE70-4F7C-AA6B-221C516A7E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EF5B2D-8029-4516-BDB0-736638FB218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CDD-4A8A-9CB5-F90502ED0B8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CE70-4F7C-AA6B-221C516A7E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BC58B7-7873-46F5-86F9-D74862B2995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ECDD-4A8A-9CB5-F90502ED0B8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CE70-4F7C-AA6B-221C516A7E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CB83DF-4170-4311-9382-A453E0A6B1D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CDD-4A8A-9CB5-F90502ED0B8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63D1CA-7411-4DDD-931D-3087C6CE611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ECDD-4A8A-9CB5-F90502ED0B8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1BA58B-FD9A-4568-9730-0DA1E36E5E8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CDD-4A8A-9CB5-F90502ED0B8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CE70-4F7C-AA6B-221C516A7E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A9C5595-0AD1-4553-AF18-6D088EBB1E4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ECDD-4A8A-9CB5-F90502ED0B8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CE70-4F7C-AA6B-221C516A7E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CE70-4F7C-AA6B-221C516A7E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CE70-4F7C-AA6B-221C516A7E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CE70-4F7C-AA6B-221C516A7E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CE70-4F7C-AA6B-221C516A7E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CE70-4F7C-AA6B-221C516A7E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CE70-4F7C-AA6B-221C516A7E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CE70-4F7C-AA6B-221C516A7E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CE70-4F7C-AA6B-221C516A7E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B73CB4-AF7A-4D60-A614-2CA592058D8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CDD-4A8A-9CB5-F90502ED0B8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55F1DD-C517-471F-A55E-0F1E165FBC0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ECDD-4A8A-9CB5-F90502ED0B8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98CDA8-EA49-45BB-9F2B-F2111DD8F0D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CDD-4A8A-9CB5-F90502ED0B8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CCA59A-8100-417C-85A8-51993D4B574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ECDD-4A8A-9CB5-F90502ED0B8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A620ECC-A8A9-4C75-82BF-92AAFDF0736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CDD-4A8A-9CB5-F90502ED0B8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5C761E-F9A5-4D5C-89C6-BEC5C9C3337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ECDD-4A8A-9CB5-F90502ED0B8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E3CE3E-752F-418B-AC86-FDDC839B8CF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CDD-4A8A-9CB5-F90502ED0B8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D2C8C9-6801-412F-963F-8890891B3FC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ECDD-4A8A-9CB5-F90502ED0B8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2F3826-001B-4E88-9F25-D2A770D00A9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CDD-4A8A-9CB5-F90502ED0B8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64327E-D89A-46FC-B922-4135D470A3A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ECDD-4A8A-9CB5-F90502ED0B8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9CF91F-E413-4D0C-AE58-C575F26EA8B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CDD-4A8A-9CB5-F90502ED0B8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43331A-EFDB-427C-9C40-1970A0FF43F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ECDD-4A8A-9CB5-F90502ED0B8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DA0CA9B-DCF5-46D8-82D2-BCC6922A68C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CDD-4A8A-9CB5-F90502ED0B8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DF7612-B539-4C57-9E8F-B5D7F43E64A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ECDD-4A8A-9CB5-F90502ED0B8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586194-645C-4D7B-B3B8-CE26D812D20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CDD-4A8A-9CB5-F90502ED0B8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008CF6E-A9E8-4CFB-92FC-8EE390353CE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ECDD-4A8A-9CB5-F90502ED0B8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9E7C5A-E7EA-4419-A670-6B820CAB61B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CDD-4A8A-9CB5-F90502ED0B8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CE70-4F7C-AA6B-221C516A7E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CE70-4F7C-AA6B-221C516A7E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CE70-4F7C-AA6B-221C516A7E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CE70-4F7C-AA6B-221C516A7E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CE70-4F7C-AA6B-221C516A7E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55AE95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124-4506-96B5-7436FE4F9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23792"/>
        <c:axId val="357921440"/>
      </c:scatterChart>
      <c:valAx>
        <c:axId val="357923792"/>
        <c:scaling>
          <c:orientation val="maxMin"/>
        </c:scaling>
        <c:delete val="1"/>
        <c:axPos val="b"/>
        <c:numFmt formatCode="General" sourceLinked="1"/>
        <c:majorTickMark val="out"/>
        <c:minorTickMark val="none"/>
        <c:tickLblPos val="nextTo"/>
        <c:crossAx val="357921440"/>
        <c:crosses val="autoZero"/>
        <c:crossBetween val="midCat"/>
      </c:valAx>
      <c:valAx>
        <c:axId val="3579214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57923792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31601137632635706"/>
          <c:y val="0.1680373739728859"/>
          <c:w val="0.44721652333825856"/>
          <c:h val="4.189470707120950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 algn="ctr">
        <a:defRPr lang="en-US" sz="1400" b="1" i="0" u="none" strike="noStrike" kern="1200" baseline="0">
          <a:solidFill>
            <a:schemeClr val="tx1"/>
          </a:solidFill>
          <a:latin typeface="Gill Sans MT" panose="020B0502020104020203" pitchFamily="34" charset="0"/>
          <a:ea typeface="+mn-ea"/>
          <a:cs typeface="+mn-cs"/>
        </a:defRPr>
      </a:pPr>
      <a:endParaRPr lang="en-US"/>
    </a:p>
  </c:txPr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069761053946949"/>
          <c:y val="2.8965302180463164E-2"/>
          <c:w val="0.67930238946053045"/>
          <c:h val="0.9420693956390736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9BD5">
                <a:alpha val="0"/>
              </a:srgbClr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ABE-4854-8B82-D2BC7ABE7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7926928"/>
        <c:axId val="357924576"/>
      </c:barChart>
      <c:catAx>
        <c:axId val="3579269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7924576"/>
        <c:crosses val="autoZero"/>
        <c:auto val="1"/>
        <c:lblAlgn val="ctr"/>
        <c:lblOffset val="100"/>
        <c:noMultiLvlLbl val="0"/>
      </c:catAx>
      <c:valAx>
        <c:axId val="35792457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5792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ka-GE" sz="1800" b="1" i="0" kern="1200" spc="0" baseline="0">
                <a:solidFill>
                  <a:srgbClr val="000000"/>
                </a:solidFill>
                <a:effectLst/>
                <a:latin typeface="BPG SSP Crystal Caps" panose="020B0503030403020204" pitchFamily="34" charset="0"/>
              </a:rPr>
              <a:t>მოუწონებდით თუ არა თქვენი ეროვნების წარმომადგენელს საქმიან ურთიერთობას...</a:t>
            </a:r>
            <a:endParaRPr lang="en-US">
              <a:effectLst/>
            </a:endParaRPr>
          </a:p>
          <a:p>
            <a:pPr algn="l">
              <a:defRPr/>
            </a:pPr>
            <a:r>
              <a:rPr lang="ka-GE" sz="105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ვარიანტები ,,არ ვიცი'' და ,,უარი პასუხზე" დიაგრამაზე დატანილი არაა. </a:t>
            </a:r>
          </a:p>
        </c:rich>
      </c:tx>
      <c:layout>
        <c:manualLayout>
          <c:xMode val="edge"/>
          <c:yMode val="edge"/>
          <c:x val="1.8576346121582731E-2"/>
          <c:y val="1.21483379017142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"/>
          <c:y val="0.22058105665237815"/>
          <c:w val="0.99974976633695567"/>
          <c:h val="0.69642747007406347"/>
        </c:manualLayout>
      </c:layout>
      <c:scatterChart>
        <c:scatterStyle val="lineMarker"/>
        <c:varyColors val="0"/>
        <c:ser>
          <c:idx val="3"/>
          <c:order val="0"/>
          <c:spPr>
            <a:ln w="19050">
              <a:noFill/>
            </a:ln>
          </c:spPr>
          <c:marker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xVal>
            <c:numRef>
              <c:f>data!#REF!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2-1758-4E14-BB55-965EB8E49524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83A5B4"/>
              </a:solidFill>
              <a:ln w="25400">
                <a:solidFill>
                  <a:srgbClr val="3F4D71"/>
                </a:solidFill>
              </a:ln>
            </c:spPr>
          </c:marker>
          <c:dLbls>
            <c:dLbl>
              <c:idx val="0"/>
              <c:layout>
                <c:manualLayout>
                  <c:x val="-4.5489129461461629E-2"/>
                  <c:y val="-5.8695649748730663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E4-442F-AC0E-111F43ED4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332658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25-1758-4E14-BB55-965EB8E49524}"/>
            </c:ext>
          </c:extLst>
        </c:ser>
        <c:ser>
          <c:idx val="1"/>
          <c:order val="2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dLbls>
            <c:dLbl>
              <c:idx val="0"/>
              <c:layout>
                <c:manualLayout>
                  <c:x val="-7.3369563647519825E-3"/>
                  <c:y val="1.0129501759514855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758-4E14-BB55-965EB8E49524}"/>
                </c:ext>
              </c:extLst>
            </c:dLbl>
            <c:dLbl>
              <c:idx val="1"/>
              <c:layout>
                <c:manualLayout>
                  <c:x val="-2.934816116438714E-2"/>
                  <c:y val="-2.8346121770666484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1758-4E14-BB55-965EB8E49524}"/>
                </c:ext>
              </c:extLst>
            </c:dLbl>
            <c:dLbl>
              <c:idx val="2"/>
              <c:layout>
                <c:manualLayout>
                  <c:x val="-4.4021738188511253E-2"/>
                  <c:y val="3.036794666106537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758-4E14-BB55-965EB8E49524}"/>
                </c:ext>
              </c:extLst>
            </c:dLbl>
            <c:dLbl>
              <c:idx val="3"/>
              <c:layout>
                <c:manualLayout>
                  <c:x val="-5.5760868372114303E-2"/>
                  <c:y val="0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E4-442F-AC0E-111F43ED4FFD}"/>
                </c:ext>
              </c:extLst>
            </c:dLbl>
            <c:dLbl>
              <c:idx val="4"/>
              <c:layout>
                <c:manualLayout>
                  <c:x val="-6.4565447095056336E-2"/>
                  <c:y val="-2.0136289290665541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758-4E14-BB55-965EB8E49524}"/>
                </c:ext>
              </c:extLst>
            </c:dLbl>
            <c:dLbl>
              <c:idx val="5"/>
              <c:layout>
                <c:manualLayout>
                  <c:x val="-7.9240035143845269E-2"/>
                  <c:y val="1.012361491809517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1758-4E14-BB55-965EB8E49524}"/>
                </c:ext>
              </c:extLst>
            </c:dLbl>
            <c:dLbl>
              <c:idx val="6"/>
              <c:layout>
                <c:manualLayout>
                  <c:x val="-6.6033069453246551E-2"/>
                  <c:y val="-1.822832209329436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758-4E14-BB55-965EB8E49524}"/>
                </c:ext>
              </c:extLst>
            </c:dLbl>
            <c:dLbl>
              <c:idx val="11"/>
              <c:layout>
                <c:manualLayout>
                  <c:x val="-7.3369563647518749E-3"/>
                  <c:y val="-7.4212033183160748E-1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E4-442F-AC0E-111F43ED4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55AE95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data!#REF!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38-1758-4E14-BB55-965EB8E49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21832"/>
        <c:axId val="357923400"/>
      </c:scatterChart>
      <c:valAx>
        <c:axId val="357921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57923400"/>
        <c:crosses val="autoZero"/>
        <c:crossBetween val="midCat"/>
      </c:valAx>
      <c:valAx>
        <c:axId val="3579234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57921832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2778592032296473"/>
          <c:y val="0.15791743436103578"/>
          <c:w val="0.44721652333825856"/>
          <c:h val="4.189470707120950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 algn="ctr">
        <a:defRPr lang="en-US" sz="1400" b="1" i="0" u="none" strike="noStrike" kern="1200" baseline="0">
          <a:solidFill>
            <a:schemeClr val="tx1"/>
          </a:solidFill>
          <a:latin typeface="Gill Sans MT" panose="020B0502020104020203" pitchFamily="34" charset="0"/>
          <a:ea typeface="+mn-ea"/>
          <a:cs typeface="+mn-cs"/>
        </a:defRPr>
      </a:pPr>
      <a:endParaRPr lang="en-US"/>
    </a:p>
  </c:txPr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3370844269466319"/>
          <c:y val="7.1773156047526696E-2"/>
          <c:w val="0.52184711286089236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9BD5">
                <a:alpha val="0"/>
              </a:srgbClr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CC0-4886-BFD5-898679821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7922224"/>
        <c:axId val="357927712"/>
      </c:barChart>
      <c:catAx>
        <c:axId val="3579222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7927712"/>
        <c:crosses val="autoZero"/>
        <c:auto val="1"/>
        <c:lblAlgn val="ctr"/>
        <c:lblOffset val="100"/>
        <c:noMultiLvlLbl val="0"/>
      </c:catAx>
      <c:valAx>
        <c:axId val="35792771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5792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44817711297119"/>
          <c:y val="0.21448694057651149"/>
          <c:w val="0.77974410775966907"/>
          <c:h val="0.72270552680979194"/>
        </c:manualLayout>
      </c:layout>
      <c:scatterChart>
        <c:scatterStyle val="lineMarker"/>
        <c:varyColors val="0"/>
        <c:ser>
          <c:idx val="3"/>
          <c:order val="0"/>
          <c:spPr>
            <a:ln w="19050">
              <a:noFill/>
            </a:ln>
          </c:spPr>
          <c:marker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1-76F1-4DDB-BC57-3B27DBCF9805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83A5B4"/>
              </a:solidFill>
              <a:ln w="25400">
                <a:solidFill>
                  <a:srgbClr val="3F4D71"/>
                </a:solidFill>
              </a:ln>
            </c:spPr>
          </c:marker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6F1-4DDB-BC57-3B27DBCF9805}"/>
                </c:ext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>
                      <a:solidFill>
                        <a:srgbClr val="332658"/>
                      </a:solidFill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9C50-4372-9167-5A4962D68D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332658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2-76F1-4DDB-BC57-3B27DBCF9805}"/>
            </c:ext>
          </c:extLst>
        </c:ser>
        <c:ser>
          <c:idx val="1"/>
          <c:order val="2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dLbls>
            <c:dLbl>
              <c:idx val="15"/>
              <c:layout>
                <c:manualLayout>
                  <c:x val="-3.2282977280825853E-2"/>
                  <c:y val="3.239556773790455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6F1-4DDB-BC57-3B27DBCF9805}"/>
                </c:ext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C50-4372-9167-5A4962D68D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6-76F1-4DDB-BC57-3B27DBCF9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26144"/>
        <c:axId val="357923008"/>
      </c:scatterChart>
      <c:valAx>
        <c:axId val="35792614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7923008"/>
        <c:crosses val="autoZero"/>
        <c:crossBetween val="midCat"/>
      </c:valAx>
      <c:valAx>
        <c:axId val="357923008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35792614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28079398577554804"/>
          <c:y val="0.17208534981762594"/>
          <c:w val="0.44721652333825856"/>
          <c:h val="4.189470707120950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 algn="ctr">
        <a:defRPr lang="en-US" sz="1400" b="1" i="0" u="none" strike="noStrike" kern="1200" baseline="0">
          <a:solidFill>
            <a:schemeClr val="tx1"/>
          </a:solidFill>
          <a:latin typeface="Gill Sans MT" panose="020B0502020104020203" pitchFamily="34" charset="0"/>
          <a:ea typeface="+mn-ea"/>
          <a:cs typeface="+mn-cs"/>
        </a:defRPr>
      </a:pPr>
      <a:endParaRPr lang="en-US"/>
    </a:p>
  </c:txPr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338286467090025"/>
          <c:y val="2.4518236821610407E-2"/>
          <c:w val="0.51321376929495544"/>
          <c:h val="0.9245559968613122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FFFFFF">
                <a:alpha val="0"/>
              </a:srgbClr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02E-439F-9ED8-0C78DDC5E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7925752"/>
        <c:axId val="357926536"/>
      </c:barChart>
      <c:catAx>
        <c:axId val="3579257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7926536"/>
        <c:crosses val="autoZero"/>
        <c:auto val="1"/>
        <c:lblAlgn val="ctr"/>
        <c:lblOffset val="100"/>
        <c:noMultiLvlLbl val="0"/>
      </c:catAx>
      <c:valAx>
        <c:axId val="35792653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5792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4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ყველაზე მეტად ვის არ ისურვებდით თქვენს მეზობლად?</a:t>
            </a:r>
            <a:endParaRPr lang="en-US" sz="240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სიხშირე</a:t>
            </a:r>
            <a:r>
              <a:rPr lang="ka-GE" sz="1400" b="0" baseline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 (%)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4297589373371956"/>
          <c:y val="0.17840241785069647"/>
          <c:w val="0.265035139816848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6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D1D-450A-9F1F-322E68DB86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57920656"/>
        <c:axId val="359556800"/>
      </c:barChart>
      <c:catAx>
        <c:axId val="3579206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9556800"/>
        <c:crossesAt val="0"/>
        <c:auto val="1"/>
        <c:lblAlgn val="ctr"/>
        <c:lblOffset val="100"/>
        <c:noMultiLvlLbl val="0"/>
      </c:catAx>
      <c:valAx>
        <c:axId val="35955680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792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96567968899674"/>
          <c:y val="0.18244429241766155"/>
          <c:w val="0.85403424504640157"/>
          <c:h val="0.7759845198029566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2060"/>
            </a:solidFill>
          </c:spPr>
          <c:invertIfNegative val="0"/>
          <c:dLbls>
            <c:delete val="1"/>
          </c:dLbls>
          <c:cat>
            <c:strRef>
              <c:f>[2]source!$D$112:$D$123</c:f>
              <c:strCache>
                <c:ptCount val="12"/>
                <c:pt idx="0">
                  <c:v>კრიმინალებს</c:v>
                </c:pt>
                <c:pt idx="1">
                  <c:v>ნარკომანებს </c:v>
                </c:pt>
                <c:pt idx="2">
                  <c:v>ჰომოსექსუალებს</c:v>
                </c:pt>
                <c:pt idx="3">
                  <c:v>თქვენგან განსხვავებული რელიგიის მიმდევრებს </c:v>
                </c:pt>
                <c:pt idx="4">
                  <c:v>შავკანიანებს</c:v>
                </c:pt>
                <c:pt idx="5">
                  <c:v>უცხოელებს აზიის ქვეყნებიდან</c:v>
                </c:pt>
                <c:pt idx="6">
                  <c:v>განსხვავებული პოლიტიკური შეხედულებების მქონეს</c:v>
                </c:pt>
                <c:pt idx="7">
                  <c:v>უცხოელებს ევროპის ქვეყნებიდან</c:v>
                </c:pt>
                <c:pt idx="8">
                  <c:v>სხვა</c:v>
                </c:pt>
                <c:pt idx="9">
                  <c:v>ამ ჯგუფებიდან არცერთს</c:v>
                </c:pt>
                <c:pt idx="10">
                  <c:v>არ ვიცი</c:v>
                </c:pt>
                <c:pt idx="11">
                  <c:v>უარი პასუხზე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F2A-4319-9A76-AC1C4048BDD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59558368"/>
        <c:axId val="359552488"/>
      </c:barChart>
      <c:catAx>
        <c:axId val="3595583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low"/>
        <c:crossAx val="359552488"/>
        <c:crossesAt val="0"/>
        <c:auto val="1"/>
        <c:lblAlgn val="ctr"/>
        <c:lblOffset val="100"/>
        <c:noMultiLvlLbl val="0"/>
      </c:catAx>
      <c:valAx>
        <c:axId val="3595524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955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1608263232997194E-2"/>
          <c:y val="0.27343216277132976"/>
          <c:w val="0.9769242315501373"/>
          <c:h val="0.5303040555116757"/>
        </c:manualLayout>
      </c:layout>
      <c:barChart>
        <c:barDir val="col"/>
        <c:grouping val="clustered"/>
        <c:varyColors val="0"/>
        <c:ser>
          <c:idx val="2"/>
          <c:order val="0"/>
          <c:spPr>
            <a:solidFill>
              <a:srgbClr val="E41A1C"/>
            </a:solidFill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6E29-4247-BF41-CF71297A3DC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E29-4247-BF41-CF71297A3DC0}"/>
            </c:ext>
          </c:extLst>
        </c:ser>
        <c:ser>
          <c:idx val="0"/>
          <c:order val="1"/>
          <c:spPr>
            <a:solidFill>
              <a:sysClr val="windowText" lastClr="000000">
                <a:lumMod val="75000"/>
                <a:lumOff val="25000"/>
              </a:sysClr>
            </a:solidFill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E29-4247-BF41-CF71297A3DC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E29-4247-BF41-CF71297A3DC0}"/>
            </c:ext>
          </c:extLst>
        </c:ser>
        <c:ser>
          <c:idx val="1"/>
          <c:order val="2"/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E29-4247-BF41-CF71297A3DC0}"/>
              </c:ext>
            </c:extLst>
          </c:dPt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6E29-4247-BF41-CF71297A3D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axId val="359552096"/>
        <c:axId val="359554056"/>
      </c:barChart>
      <c:catAx>
        <c:axId val="35955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9554056"/>
        <c:crossesAt val="0"/>
        <c:auto val="1"/>
        <c:lblAlgn val="ctr"/>
        <c:lblOffset val="100"/>
        <c:noMultiLvlLbl val="0"/>
      </c:catAx>
      <c:valAx>
        <c:axId val="359554056"/>
        <c:scaling>
          <c:orientation val="minMax"/>
          <c:max val="100"/>
        </c:scaling>
        <c:delete val="1"/>
        <c:axPos val="l"/>
        <c:numFmt formatCode="General" sourceLinked="1"/>
        <c:majorTickMark val="out"/>
        <c:minorTickMark val="none"/>
        <c:tickLblPos val="nextTo"/>
        <c:crossAx val="35955209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0.28920922614752265"/>
          <c:y val="0.23673021913349934"/>
          <c:w val="0.42158143215336291"/>
          <c:h val="4.18373850133823E-2"/>
        </c:manualLayout>
      </c:layout>
      <c:overlay val="0"/>
      <c:txPr>
        <a:bodyPr/>
        <a:lstStyle/>
        <a:p>
          <a:pPr>
            <a:defRPr>
              <a:latin typeface="BPG SSP Crystal" panose="020B0503030403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6018174185473943E-2"/>
          <c:y val="0.18446624509218751"/>
          <c:w val="0.94302255000870683"/>
          <c:h val="0.74363327701054138"/>
        </c:manualLayout>
      </c:layout>
      <c:lineChart>
        <c:grouping val="stacked"/>
        <c:varyColors val="0"/>
        <c:ser>
          <c:idx val="1"/>
          <c:order val="0"/>
          <c:spPr>
            <a:ln>
              <a:noFill/>
            </a:ln>
          </c:spPr>
          <c:marker>
            <c:symbol val="circle"/>
            <c:size val="17"/>
            <c:spPr>
              <a:solidFill>
                <a:srgbClr val="6E0000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38100">
                <a:solidFill>
                  <a:srgbClr val="6E0000"/>
                </a:solidFill>
              </a:ln>
            </c:spPr>
          </c:errBar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E3D2-425A-AA8A-F450331EE6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9552880"/>
        <c:axId val="359557584"/>
      </c:lineChart>
      <c:catAx>
        <c:axId val="35955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59557584"/>
        <c:crossesAt val="0"/>
        <c:auto val="1"/>
        <c:lblAlgn val="ctr"/>
        <c:lblOffset val="100"/>
        <c:noMultiLvlLbl val="0"/>
      </c:catAx>
      <c:valAx>
        <c:axId val="359557584"/>
        <c:scaling>
          <c:orientation val="minMax"/>
          <c:max val="4"/>
          <c:min val="2"/>
        </c:scaling>
        <c:delete val="1"/>
        <c:axPos val="l"/>
        <c:numFmt formatCode="General" sourceLinked="1"/>
        <c:majorTickMark val="out"/>
        <c:minorTickMark val="none"/>
        <c:tickLblPos val="nextTo"/>
        <c:crossAx val="35955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167854979978955"/>
          <c:y val="0.18244429241766155"/>
          <c:w val="0.4412774320923515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[2]source!$D$94</c:f>
              <c:strCache>
                <c:ptCount val="1"/>
                <c:pt idx="0">
                  <c:v>ასაკი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[2]source!$E$94:$G$94</c:f>
              <c:numCache>
                <c:formatCode>General</c:formatCode>
                <c:ptCount val="3"/>
                <c:pt idx="0">
                  <c:v>6.64</c:v>
                </c:pt>
                <c:pt idx="1">
                  <c:v>3.2099999999999995</c:v>
                </c:pt>
                <c:pt idx="2">
                  <c:v>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D-43BB-BE77-16818691ACE7}"/>
            </c:ext>
          </c:extLst>
        </c:ser>
        <c:ser>
          <c:idx val="0"/>
          <c:order val="1"/>
          <c:tx>
            <c:strRef>
              <c:f>[2]source!$D$95</c:f>
              <c:strCache>
                <c:ptCount val="1"/>
                <c:pt idx="0">
                  <c:v>გარეგნობა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[2]source!$E$95:$G$95</c:f>
              <c:numCache>
                <c:formatCode>General</c:formatCode>
                <c:ptCount val="3"/>
                <c:pt idx="0">
                  <c:v>0.86</c:v>
                </c:pt>
                <c:pt idx="1">
                  <c:v>0.86999999999999988</c:v>
                </c:pt>
                <c:pt idx="2">
                  <c:v>0.91999999999999993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6D-43BB-BE77-16818691ACE7}"/>
            </c:ext>
          </c:extLst>
        </c:ser>
        <c:ser>
          <c:idx val="1"/>
          <c:order val="2"/>
          <c:tx>
            <c:strRef>
              <c:f>[2]source!$D$96</c:f>
              <c:strCache>
                <c:ptCount val="1"/>
                <c:pt idx="0">
                  <c:v>ნაცნობობა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[2]source!$E$96:$G$96</c:f>
              <c:numCache>
                <c:formatCode>General</c:formatCode>
                <c:ptCount val="3"/>
                <c:pt idx="0">
                  <c:v>25.2</c:v>
                </c:pt>
                <c:pt idx="1">
                  <c:v>30.17</c:v>
                </c:pt>
                <c:pt idx="2">
                  <c:v>31.46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6D-43BB-BE77-16818691ACE7}"/>
            </c:ext>
          </c:extLst>
        </c:ser>
        <c:ser>
          <c:idx val="3"/>
          <c:order val="3"/>
          <c:tx>
            <c:strRef>
              <c:f>[2]source!$D$97</c:f>
              <c:strCache>
                <c:ptCount val="1"/>
                <c:pt idx="0">
                  <c:v>გამართლება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[2]source!$E$97:$G$97</c:f>
              <c:numCache>
                <c:formatCode>General</c:formatCode>
                <c:ptCount val="3"/>
                <c:pt idx="0">
                  <c:v>10.209999999999999</c:v>
                </c:pt>
                <c:pt idx="1">
                  <c:v>8.83</c:v>
                </c:pt>
                <c:pt idx="2">
                  <c:v>6.0600000000000005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6D-43BB-BE77-16818691ACE7}"/>
            </c:ext>
          </c:extLst>
        </c:ser>
        <c:ser>
          <c:idx val="4"/>
          <c:order val="4"/>
          <c:tx>
            <c:strRef>
              <c:f>[2]source!$D$98</c:f>
              <c:strCache>
                <c:ptCount val="1"/>
                <c:pt idx="0">
                  <c:v>საჭირო ხალხის პატივისცემა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[2]source!$E$98:$G$98</c:f>
              <c:numCache>
                <c:formatCode>General</c:formatCode>
                <c:ptCount val="3"/>
                <c:pt idx="0">
                  <c:v>2.46</c:v>
                </c:pt>
                <c:pt idx="1">
                  <c:v>2.81</c:v>
                </c:pt>
                <c:pt idx="2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6D-43BB-BE77-16818691AC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59553272"/>
        <c:axId val="359557976"/>
      </c:barChart>
      <c:catAx>
        <c:axId val="3595532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9557976"/>
        <c:crossesAt val="0"/>
        <c:auto val="1"/>
        <c:lblAlgn val="ctr"/>
        <c:lblOffset val="100"/>
        <c:noMultiLvlLbl val="0"/>
      </c:catAx>
      <c:valAx>
        <c:axId val="35955797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955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167854979978955"/>
          <c:y val="0.18244429241766155"/>
          <c:w val="0.4412774320923515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[2]source!$D$94</c:f>
              <c:strCache>
                <c:ptCount val="1"/>
                <c:pt idx="0">
                  <c:v>ასაკი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[2]source!$E$94:$G$94</c:f>
              <c:numCache>
                <c:formatCode>General</c:formatCode>
                <c:ptCount val="3"/>
                <c:pt idx="0">
                  <c:v>6.64</c:v>
                </c:pt>
                <c:pt idx="1">
                  <c:v>3.2099999999999995</c:v>
                </c:pt>
                <c:pt idx="2">
                  <c:v>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8-4A03-998A-CF992CF437EB}"/>
            </c:ext>
          </c:extLst>
        </c:ser>
        <c:ser>
          <c:idx val="0"/>
          <c:order val="1"/>
          <c:tx>
            <c:strRef>
              <c:f>[2]source!$D$95</c:f>
              <c:strCache>
                <c:ptCount val="1"/>
                <c:pt idx="0">
                  <c:v>გარეგნობა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[2]source!$E$95:$G$95</c:f>
              <c:numCache>
                <c:formatCode>General</c:formatCode>
                <c:ptCount val="3"/>
                <c:pt idx="0">
                  <c:v>0.86</c:v>
                </c:pt>
                <c:pt idx="1">
                  <c:v>0.86999999999999988</c:v>
                </c:pt>
                <c:pt idx="2">
                  <c:v>0.91999999999999993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8-4A03-998A-CF992CF437EB}"/>
            </c:ext>
          </c:extLst>
        </c:ser>
        <c:ser>
          <c:idx val="1"/>
          <c:order val="2"/>
          <c:tx>
            <c:strRef>
              <c:f>[2]source!$D$96</c:f>
              <c:strCache>
                <c:ptCount val="1"/>
                <c:pt idx="0">
                  <c:v>ნაცნობობა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[2]source!$E$96:$G$96</c:f>
              <c:numCache>
                <c:formatCode>General</c:formatCode>
                <c:ptCount val="3"/>
                <c:pt idx="0">
                  <c:v>25.2</c:v>
                </c:pt>
                <c:pt idx="1">
                  <c:v>30.17</c:v>
                </c:pt>
                <c:pt idx="2">
                  <c:v>31.46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68-4A03-998A-CF992CF437EB}"/>
            </c:ext>
          </c:extLst>
        </c:ser>
        <c:ser>
          <c:idx val="3"/>
          <c:order val="3"/>
          <c:tx>
            <c:strRef>
              <c:f>[2]source!$D$97</c:f>
              <c:strCache>
                <c:ptCount val="1"/>
                <c:pt idx="0">
                  <c:v>გამართლება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[2]source!$E$97:$G$97</c:f>
              <c:numCache>
                <c:formatCode>General</c:formatCode>
                <c:ptCount val="3"/>
                <c:pt idx="0">
                  <c:v>10.209999999999999</c:v>
                </c:pt>
                <c:pt idx="1">
                  <c:v>8.83</c:v>
                </c:pt>
                <c:pt idx="2">
                  <c:v>6.0600000000000005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68-4A03-998A-CF992CF437EB}"/>
            </c:ext>
          </c:extLst>
        </c:ser>
        <c:ser>
          <c:idx val="4"/>
          <c:order val="4"/>
          <c:tx>
            <c:strRef>
              <c:f>[2]source!$D$98</c:f>
              <c:strCache>
                <c:ptCount val="1"/>
                <c:pt idx="0">
                  <c:v>საჭირო ხალხის პატივისცემა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[2]source!$E$98:$G$98</c:f>
              <c:numCache>
                <c:formatCode>General</c:formatCode>
                <c:ptCount val="3"/>
                <c:pt idx="0">
                  <c:v>2.46</c:v>
                </c:pt>
                <c:pt idx="1">
                  <c:v>2.81</c:v>
                </c:pt>
                <c:pt idx="2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68-4A03-998A-CF992CF437E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59555624"/>
        <c:axId val="359550920"/>
      </c:barChart>
      <c:catAx>
        <c:axId val="3595556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9550920"/>
        <c:crossesAt val="0"/>
        <c:auto val="1"/>
        <c:lblAlgn val="ctr"/>
        <c:lblOffset val="100"/>
        <c:noMultiLvlLbl val="0"/>
      </c:catAx>
      <c:valAx>
        <c:axId val="3595509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955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2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შეხედულებები ოჯახში ქალისა და მამაკაცის როლის</a:t>
            </a:r>
            <a:r>
              <a:rPr lang="ka-GE" sz="2200" baseline="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 შესახებ</a:t>
            </a:r>
            <a:endParaRPr lang="en-US" sz="22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982412849802225"/>
          <c:y val="0.17637636011517974"/>
          <c:w val="0.36350077169051048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33265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037-4AE3-BAE6-F531EDDC2286}"/>
            </c:ext>
          </c:extLst>
        </c:ser>
        <c:ser>
          <c:idx val="0"/>
          <c:order val="1"/>
          <c:spPr>
            <a:solidFill>
              <a:srgbClr val="6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037-4AE3-BAE6-F531EDDC2286}"/>
            </c:ext>
          </c:extLst>
        </c:ser>
        <c:ser>
          <c:idx val="1"/>
          <c:order val="2"/>
          <c:spPr>
            <a:solidFill>
              <a:srgbClr val="C6C6C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E037-4AE3-BAE6-F531EDDC2286}"/>
            </c:ext>
          </c:extLst>
        </c:ser>
        <c:ser>
          <c:idx val="3"/>
          <c:order val="3"/>
          <c:spPr>
            <a:solidFill>
              <a:sysClr val="windowText" lastClr="000000">
                <a:lumMod val="85000"/>
                <a:lumOff val="15000"/>
              </a:sysClr>
            </a:solidFill>
          </c:spPr>
          <c:invertIfNegative val="0"/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E037-4AE3-BAE6-F531EDDC2286}"/>
            </c:ext>
          </c:extLst>
        </c:ser>
        <c:ser>
          <c:idx val="4"/>
          <c:order val="4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E037-4AE3-BAE6-F531EDDC22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59556016"/>
        <c:axId val="359556408"/>
      </c:barChart>
      <c:catAx>
        <c:axId val="35955601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9556408"/>
        <c:crossesAt val="0"/>
        <c:auto val="1"/>
        <c:lblAlgn val="ctr"/>
        <c:lblOffset val="100"/>
        <c:noMultiLvlLbl val="0"/>
      </c:catAx>
      <c:valAx>
        <c:axId val="3595564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955601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legendEntry>
        <c:idx val="4"/>
        <c:delete val="1"/>
      </c:legendEntry>
      <c:overlay val="0"/>
      <c:txPr>
        <a:bodyPr/>
        <a:lstStyle/>
        <a:p>
          <a:pPr>
            <a:defRPr>
              <a:latin typeface="BPG SSP Crystal" panose="020B0503030403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289931018980313E-2"/>
          <c:y val="0.17233105267181409"/>
          <c:w val="0.82761171236002296"/>
          <c:h val="0.78205037782653475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33265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C25-4172-8637-D643F064330A}"/>
            </c:ext>
          </c:extLst>
        </c:ser>
        <c:ser>
          <c:idx val="0"/>
          <c:order val="1"/>
          <c:spPr>
            <a:solidFill>
              <a:srgbClr val="6E0000"/>
            </a:solidFill>
          </c:spPr>
          <c:invertIfNegative val="0"/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C25-4172-8637-D643F064330A}"/>
            </c:ext>
          </c:extLst>
        </c:ser>
        <c:ser>
          <c:idx val="1"/>
          <c:order val="2"/>
          <c:spPr>
            <a:solidFill>
              <a:srgbClr val="C6C6C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C25-4172-8637-D643F064330A}"/>
            </c:ext>
          </c:extLst>
        </c:ser>
        <c:ser>
          <c:idx val="3"/>
          <c:order val="3"/>
          <c:spPr>
            <a:solidFill>
              <a:sysClr val="windowText" lastClr="000000">
                <a:lumMod val="85000"/>
                <a:lumOff val="15000"/>
              </a:sysClr>
            </a:solidFill>
          </c:spPr>
          <c:invertIfNegative val="0"/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4C25-4172-8637-D643F064330A}"/>
            </c:ext>
          </c:extLst>
        </c:ser>
        <c:ser>
          <c:idx val="4"/>
          <c:order val="4"/>
          <c:invertIfNegative val="0"/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4C25-4172-8637-D643F064330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37264"/>
        <c:axId val="360140400"/>
      </c:barChart>
      <c:catAx>
        <c:axId val="36013726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low"/>
        <c:crossAx val="360140400"/>
        <c:crossesAt val="0"/>
        <c:auto val="1"/>
        <c:lblAlgn val="ctr"/>
        <c:lblOffset val="100"/>
        <c:noMultiLvlLbl val="0"/>
      </c:catAx>
      <c:valAx>
        <c:axId val="36014040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0137264"/>
        <c:crosses val="autoZero"/>
        <c:crossBetween val="between"/>
        <c:majorUnit val="10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0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თუ ოჯახში მხოლოდ ერთი შვილია, რა სქესის აჯობებს, რომ იყოს ეს ბავშვი</a:t>
            </a:r>
            <a:r>
              <a:rPr lang="en-US" sz="20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?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47184761589791"/>
          <c:y val="0.18244426272055306"/>
          <c:w val="0.265035139816848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9D250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EFC-45B1-9FED-871213068AB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38832"/>
        <c:axId val="360141576"/>
      </c:barChart>
      <c:catAx>
        <c:axId val="3601388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0141576"/>
        <c:crossesAt val="0"/>
        <c:auto val="1"/>
        <c:lblAlgn val="ctr"/>
        <c:lblOffset val="100"/>
        <c:noMultiLvlLbl val="0"/>
      </c:catAx>
      <c:valAx>
        <c:axId val="36014157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013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5343451264722686E-2"/>
          <c:y val="0.18244426272055306"/>
          <c:w val="0.85403424504640157"/>
          <c:h val="0.7759845198029566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1101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42-48E1-AF1D-F2137F80159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40008"/>
        <c:axId val="360143536"/>
      </c:barChart>
      <c:catAx>
        <c:axId val="36014000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low"/>
        <c:crossAx val="360143536"/>
        <c:crossesAt val="0"/>
        <c:auto val="1"/>
        <c:lblAlgn val="ctr"/>
        <c:lblOffset val="100"/>
        <c:noMultiLvlLbl val="0"/>
      </c:catAx>
      <c:valAx>
        <c:axId val="36014353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014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167854979978955"/>
          <c:y val="0.18244429241766155"/>
          <c:w val="0.4412774320923515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[2]source!$D$94</c:f>
              <c:strCache>
                <c:ptCount val="1"/>
                <c:pt idx="0">
                  <c:v>ასაკი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[2]source!$E$94:$G$94</c:f>
              <c:numCache>
                <c:formatCode>General</c:formatCode>
                <c:ptCount val="3"/>
                <c:pt idx="0">
                  <c:v>6.64</c:v>
                </c:pt>
                <c:pt idx="1">
                  <c:v>3.2099999999999995</c:v>
                </c:pt>
                <c:pt idx="2">
                  <c:v>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5-4ADC-8F2B-5D884FC39983}"/>
            </c:ext>
          </c:extLst>
        </c:ser>
        <c:ser>
          <c:idx val="0"/>
          <c:order val="1"/>
          <c:tx>
            <c:strRef>
              <c:f>[2]source!$D$95</c:f>
              <c:strCache>
                <c:ptCount val="1"/>
                <c:pt idx="0">
                  <c:v>გარეგნობა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[2]source!$E$95:$G$95</c:f>
              <c:numCache>
                <c:formatCode>General</c:formatCode>
                <c:ptCount val="3"/>
                <c:pt idx="0">
                  <c:v>0.86</c:v>
                </c:pt>
                <c:pt idx="1">
                  <c:v>0.86999999999999988</c:v>
                </c:pt>
                <c:pt idx="2">
                  <c:v>0.91999999999999993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F5-4ADC-8F2B-5D884FC39983}"/>
            </c:ext>
          </c:extLst>
        </c:ser>
        <c:ser>
          <c:idx val="1"/>
          <c:order val="2"/>
          <c:tx>
            <c:strRef>
              <c:f>[2]source!$D$96</c:f>
              <c:strCache>
                <c:ptCount val="1"/>
                <c:pt idx="0">
                  <c:v>ნაცნობობა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[2]source!$E$96:$G$96</c:f>
              <c:numCache>
                <c:formatCode>General</c:formatCode>
                <c:ptCount val="3"/>
                <c:pt idx="0">
                  <c:v>25.2</c:v>
                </c:pt>
                <c:pt idx="1">
                  <c:v>30.17</c:v>
                </c:pt>
                <c:pt idx="2">
                  <c:v>31.46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F5-4ADC-8F2B-5D884FC39983}"/>
            </c:ext>
          </c:extLst>
        </c:ser>
        <c:ser>
          <c:idx val="3"/>
          <c:order val="3"/>
          <c:tx>
            <c:strRef>
              <c:f>[2]source!$D$97</c:f>
              <c:strCache>
                <c:ptCount val="1"/>
                <c:pt idx="0">
                  <c:v>გამართლება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[2]source!$E$97:$G$97</c:f>
              <c:numCache>
                <c:formatCode>General</c:formatCode>
                <c:ptCount val="3"/>
                <c:pt idx="0">
                  <c:v>10.209999999999999</c:v>
                </c:pt>
                <c:pt idx="1">
                  <c:v>8.83</c:v>
                </c:pt>
                <c:pt idx="2">
                  <c:v>6.0600000000000005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F5-4ADC-8F2B-5D884FC39983}"/>
            </c:ext>
          </c:extLst>
        </c:ser>
        <c:ser>
          <c:idx val="4"/>
          <c:order val="4"/>
          <c:tx>
            <c:strRef>
              <c:f>[2]source!$D$98</c:f>
              <c:strCache>
                <c:ptCount val="1"/>
                <c:pt idx="0">
                  <c:v>საჭირო ხალხის პატივისცემა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[2]source!$E$98:$G$98</c:f>
              <c:numCache>
                <c:formatCode>General</c:formatCode>
                <c:ptCount val="3"/>
                <c:pt idx="0">
                  <c:v>2.46</c:v>
                </c:pt>
                <c:pt idx="1">
                  <c:v>2.81</c:v>
                </c:pt>
                <c:pt idx="2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F5-4ADC-8F2B-5D884FC399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37656"/>
        <c:axId val="360143144"/>
      </c:barChart>
      <c:catAx>
        <c:axId val="3601376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0143144"/>
        <c:crossesAt val="0"/>
        <c:auto val="1"/>
        <c:lblAlgn val="ctr"/>
        <c:lblOffset val="100"/>
        <c:noMultiLvlLbl val="0"/>
      </c:catAx>
      <c:valAx>
        <c:axId val="36014314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013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167854979978955"/>
          <c:y val="0.18244429241766155"/>
          <c:w val="0.4412774320923515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[2]source!$D$94</c:f>
              <c:strCache>
                <c:ptCount val="1"/>
                <c:pt idx="0">
                  <c:v>ასაკი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[2]source!$E$94:$G$94</c:f>
              <c:numCache>
                <c:formatCode>General</c:formatCode>
                <c:ptCount val="3"/>
                <c:pt idx="0">
                  <c:v>6.64</c:v>
                </c:pt>
                <c:pt idx="1">
                  <c:v>3.2099999999999995</c:v>
                </c:pt>
                <c:pt idx="2">
                  <c:v>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C7-4BF9-98C9-944FF5597359}"/>
            </c:ext>
          </c:extLst>
        </c:ser>
        <c:ser>
          <c:idx val="0"/>
          <c:order val="1"/>
          <c:tx>
            <c:strRef>
              <c:f>[2]source!$D$95</c:f>
              <c:strCache>
                <c:ptCount val="1"/>
                <c:pt idx="0">
                  <c:v>გარეგნობა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[2]source!$E$95:$G$95</c:f>
              <c:numCache>
                <c:formatCode>General</c:formatCode>
                <c:ptCount val="3"/>
                <c:pt idx="0">
                  <c:v>0.86</c:v>
                </c:pt>
                <c:pt idx="1">
                  <c:v>0.86999999999999988</c:v>
                </c:pt>
                <c:pt idx="2">
                  <c:v>0.91999999999999993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C7-4BF9-98C9-944FF5597359}"/>
            </c:ext>
          </c:extLst>
        </c:ser>
        <c:ser>
          <c:idx val="1"/>
          <c:order val="2"/>
          <c:tx>
            <c:strRef>
              <c:f>[2]source!$D$96</c:f>
              <c:strCache>
                <c:ptCount val="1"/>
                <c:pt idx="0">
                  <c:v>ნაცნობობა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[2]source!$E$96:$G$96</c:f>
              <c:numCache>
                <c:formatCode>General</c:formatCode>
                <c:ptCount val="3"/>
                <c:pt idx="0">
                  <c:v>25.2</c:v>
                </c:pt>
                <c:pt idx="1">
                  <c:v>30.17</c:v>
                </c:pt>
                <c:pt idx="2">
                  <c:v>31.46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C7-4BF9-98C9-944FF5597359}"/>
            </c:ext>
          </c:extLst>
        </c:ser>
        <c:ser>
          <c:idx val="3"/>
          <c:order val="3"/>
          <c:tx>
            <c:strRef>
              <c:f>[2]source!$D$97</c:f>
              <c:strCache>
                <c:ptCount val="1"/>
                <c:pt idx="0">
                  <c:v>გამართლება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[2]source!$E$97:$G$97</c:f>
              <c:numCache>
                <c:formatCode>General</c:formatCode>
                <c:ptCount val="3"/>
                <c:pt idx="0">
                  <c:v>10.209999999999999</c:v>
                </c:pt>
                <c:pt idx="1">
                  <c:v>8.83</c:v>
                </c:pt>
                <c:pt idx="2">
                  <c:v>6.0600000000000005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C7-4BF9-98C9-944FF5597359}"/>
            </c:ext>
          </c:extLst>
        </c:ser>
        <c:ser>
          <c:idx val="4"/>
          <c:order val="4"/>
          <c:tx>
            <c:strRef>
              <c:f>[2]source!$D$98</c:f>
              <c:strCache>
                <c:ptCount val="1"/>
                <c:pt idx="0">
                  <c:v>საჭირო ხალხის პატივისცემა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[2]source!$E$98:$G$98</c:f>
              <c:numCache>
                <c:formatCode>General</c:formatCode>
                <c:ptCount val="3"/>
                <c:pt idx="0">
                  <c:v>2.46</c:v>
                </c:pt>
                <c:pt idx="1">
                  <c:v>2.81</c:v>
                </c:pt>
                <c:pt idx="2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C7-4BF9-98C9-944FF55973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41184"/>
        <c:axId val="360136088"/>
      </c:barChart>
      <c:catAx>
        <c:axId val="3601411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0136088"/>
        <c:crossesAt val="0"/>
        <c:auto val="1"/>
        <c:lblAlgn val="ctr"/>
        <c:lblOffset val="100"/>
        <c:noMultiLvlLbl val="0"/>
      </c:catAx>
      <c:valAx>
        <c:axId val="3601360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014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22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6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რომელი მიგაჩნიათ ყველაზე მნიშვნელოვნად საქართველოში კარგი სამსახურის საშოვნელად?</a:t>
            </a:r>
          </a:p>
          <a:p>
            <a:pPr algn="l">
              <a:defRPr sz="22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2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ვარიანტები ,,არ ვიცი'' და ,,უარი პასუხზე'' დიაგრამაზე ნაჩვენები არ არის. 2010 წლის ტალღაში პასუხის ვარიანტები ,,პროფესიონალიზმი'' და ,,სამუშაო გამოცდილება'' ცალ-ცალკე იყო მოცე</a:t>
            </a:r>
            <a:endParaRPr lang="en-US" sz="12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0058870282059815E-2"/>
          <c:y val="0.17839901383686263"/>
          <c:w val="0.35470338823539194"/>
          <c:h val="0.71734789224170392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4DD5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02A-4412-B265-4D8D2134FBD9}"/>
            </c:ext>
          </c:extLst>
        </c:ser>
        <c:ser>
          <c:idx val="0"/>
          <c:order val="1"/>
          <c:spPr>
            <a:solidFill>
              <a:srgbClr val="E95C3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02A-4412-B265-4D8D2134FBD9}"/>
            </c:ext>
          </c:extLst>
        </c:ser>
        <c:ser>
          <c:idx val="1"/>
          <c:order val="2"/>
          <c:spPr>
            <a:solidFill>
              <a:srgbClr val="FFDC3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02A-4412-B265-4D8D2134FBD9}"/>
            </c:ext>
          </c:extLst>
        </c:ser>
        <c:ser>
          <c:idx val="3"/>
          <c:order val="3"/>
          <c:spPr>
            <a:solidFill>
              <a:srgbClr val="1101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402A-4412-B265-4D8D2134FBD9}"/>
            </c:ext>
          </c:extLst>
        </c:ser>
        <c:ser>
          <c:idx val="4"/>
          <c:order val="4"/>
          <c:spPr>
            <a:solidFill>
              <a:srgbClr val="00918E"/>
            </a:solidFill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60-4175-A3B6-0A55B6719F7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60-4175-A3B6-0A55B6719F7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60-4175-A3B6-0A55B6719F7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402A-4412-B265-4D8D2134FBD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36872"/>
        <c:axId val="360138048"/>
      </c:barChart>
      <c:catAx>
        <c:axId val="360136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0138048"/>
        <c:crossesAt val="0"/>
        <c:auto val="1"/>
        <c:lblAlgn val="ctr"/>
        <c:lblOffset val="100"/>
        <c:noMultiLvlLbl val="0"/>
      </c:catAx>
      <c:valAx>
        <c:axId val="36013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01368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71364489817189"/>
          <c:y val="0.88981583832147992"/>
          <c:w val="0.35272366079460438"/>
          <c:h val="0.10007439830589024"/>
        </c:manualLayout>
      </c:layout>
      <c:overlay val="0"/>
      <c:txPr>
        <a:bodyPr/>
        <a:lstStyle/>
        <a:p>
          <a:pPr>
            <a:defRPr sz="1000">
              <a:latin typeface="BPG SSP Crystal" panose="020B0503030403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1294812755036013E-2"/>
          <c:y val="0.17637640332774318"/>
          <c:w val="0.96968961402993914"/>
          <c:h val="0.71936984491622991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7FA99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A44-4FCE-B77A-CE9842D07A5B}"/>
            </c:ext>
          </c:extLst>
        </c:ser>
        <c:ser>
          <c:idx val="1"/>
          <c:order val="1"/>
          <c:spPr>
            <a:solidFill>
              <a:srgbClr val="F1F1B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A44-4FCE-B77A-CE9842D07A5B}"/>
            </c:ext>
          </c:extLst>
        </c:ser>
        <c:ser>
          <c:idx val="3"/>
          <c:order val="2"/>
          <c:spPr>
            <a:solidFill>
              <a:srgbClr val="DF854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A44-4FCE-B77A-CE9842D07A5B}"/>
            </c:ext>
          </c:extLst>
        </c:ser>
        <c:ser>
          <c:idx val="4"/>
          <c:order val="3"/>
          <c:spPr>
            <a:solidFill>
              <a:srgbClr val="9D250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A44-4FCE-B77A-CE9842D07A5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39224"/>
        <c:axId val="360139616"/>
      </c:barChart>
      <c:catAx>
        <c:axId val="3601392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60139616"/>
        <c:crossesAt val="0"/>
        <c:auto val="1"/>
        <c:lblAlgn val="ctr"/>
        <c:lblOffset val="100"/>
        <c:noMultiLvlLbl val="0"/>
      </c:catAx>
      <c:valAx>
        <c:axId val="360139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0139224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498506908815915"/>
          <c:y val="0.88378675754733638"/>
          <c:w val="0.75994450775353473"/>
          <c:h val="0.10408152640550788"/>
        </c:manualLayout>
      </c:layout>
      <c:overlay val="0"/>
      <c:txPr>
        <a:bodyPr/>
        <a:lstStyle/>
        <a:p>
          <a:pPr>
            <a:defRPr sz="1000">
              <a:latin typeface="BPG SSP Crystal" panose="020B0503030403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38-4FFB-ACEF-CDB6D551A69A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38-4FFB-ACEF-CDB6D551A69A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38-4FFB-ACEF-CDB6D551A69A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38-4FFB-ACEF-CDB6D551A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5510536"/>
        <c:axId val="5512888"/>
      </c:barChart>
      <c:catAx>
        <c:axId val="551053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5512888"/>
        <c:crossesAt val="0"/>
        <c:auto val="1"/>
        <c:lblAlgn val="ctr"/>
        <c:lblOffset val="100"/>
        <c:noMultiLvlLbl val="0"/>
      </c:catAx>
      <c:valAx>
        <c:axId val="55128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51053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D-41C9-848A-2055C1ECBF60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9D-41C9-848A-2055C1ECBF60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9D-41C9-848A-2055C1ECBF60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9D-41C9-848A-2055C1ECB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5512104"/>
        <c:axId val="5509360"/>
      </c:barChart>
      <c:catAx>
        <c:axId val="5512104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5509360"/>
        <c:crossesAt val="0"/>
        <c:auto val="1"/>
        <c:lblAlgn val="ctr"/>
        <c:lblOffset val="100"/>
        <c:noMultiLvlLbl val="0"/>
      </c:catAx>
      <c:valAx>
        <c:axId val="55093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51210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A-4F05-9F30-03D661011156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A-4F05-9F30-03D661011156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AA-4F05-9F30-03D661011156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AA-4F05-9F30-03D661011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5509752"/>
        <c:axId val="5512496"/>
      </c:barChart>
      <c:catAx>
        <c:axId val="550975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5512496"/>
        <c:crossesAt val="0"/>
        <c:auto val="1"/>
        <c:lblAlgn val="ctr"/>
        <c:lblOffset val="100"/>
        <c:noMultiLvlLbl val="0"/>
      </c:catAx>
      <c:valAx>
        <c:axId val="551249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50975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85-48F8-B46F-AE4E21B45880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85-48F8-B46F-AE4E21B45880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85-48F8-B46F-AE4E21B45880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85-48F8-B46F-AE4E21B45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6248"/>
        <c:axId val="361791936"/>
      </c:barChart>
      <c:catAx>
        <c:axId val="36179624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1936"/>
        <c:crossesAt val="0"/>
        <c:auto val="1"/>
        <c:lblAlgn val="ctr"/>
        <c:lblOffset val="100"/>
        <c:noMultiLvlLbl val="0"/>
      </c:catAx>
      <c:valAx>
        <c:axId val="36179193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624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11334942456232"/>
          <c:y val="0.28960563030349362"/>
          <c:w val="0.49260777195503047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CB745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20-4B83-8213-A9B385412B8A}"/>
            </c:ext>
          </c:extLst>
        </c:ser>
        <c:ser>
          <c:idx val="3"/>
          <c:order val="1"/>
          <c:spPr>
            <a:solidFill>
              <a:srgbClr val="DD998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20-4B83-8213-A9B385412B8A}"/>
            </c:ext>
          </c:extLst>
        </c:ser>
        <c:ser>
          <c:idx val="4"/>
          <c:order val="2"/>
          <c:spPr>
            <a:solidFill>
              <a:srgbClr val="EDBFB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9-FD20-4B83-8213-A9B385412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1544"/>
        <c:axId val="361798600"/>
      </c:barChart>
      <c:catAx>
        <c:axId val="361791544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8600"/>
        <c:crossesAt val="0"/>
        <c:auto val="1"/>
        <c:lblAlgn val="ctr"/>
        <c:lblOffset val="100"/>
        <c:noMultiLvlLbl val="0"/>
      </c:catAx>
      <c:valAx>
        <c:axId val="36179860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1544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643604907489758E-2"/>
          <c:y val="0.16565103379730209"/>
          <c:w val="0.55249031921185909"/>
          <c:h val="0.10708899808235149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041557305336834E-2"/>
          <c:y val="0.29740901889602339"/>
          <c:w val="0.88191688538932633"/>
          <c:h val="0.66810271281346756"/>
        </c:manualLayout>
      </c:layout>
      <c:barChart>
        <c:barDir val="bar"/>
        <c:grouping val="stacked"/>
        <c:varyColors val="0"/>
        <c:ser>
          <c:idx val="3"/>
          <c:order val="0"/>
          <c:spPr>
            <a:solidFill>
              <a:srgbClr val="3F4D7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6-CAD7-4EBD-8721-A561BBD75085}"/>
            </c:ext>
          </c:extLst>
        </c:ser>
        <c:ser>
          <c:idx val="0"/>
          <c:order val="1"/>
          <c:spPr>
            <a:solidFill>
              <a:srgbClr val="55AE9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3-CAD7-4EBD-8721-A561BBD75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3896"/>
        <c:axId val="361792720"/>
      </c:barChart>
      <c:catAx>
        <c:axId val="3617938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1792720"/>
        <c:crosses val="autoZero"/>
        <c:auto val="1"/>
        <c:lblAlgn val="ctr"/>
        <c:lblOffset val="100"/>
        <c:noMultiLvlLbl val="0"/>
      </c:catAx>
      <c:valAx>
        <c:axId val="361792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179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9371705681646961E-2"/>
          <c:y val="0.16274834840066768"/>
          <c:w val="0.67571582027919774"/>
          <c:h val="7.17782763926021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77-4660-98B8-DE03076BCC37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77-4660-98B8-DE03076BCC37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77-4660-98B8-DE03076BCC37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77-4660-98B8-DE03076BC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4288"/>
        <c:axId val="361792328"/>
      </c:barChart>
      <c:catAx>
        <c:axId val="36179428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2328"/>
        <c:crossesAt val="0"/>
        <c:auto val="1"/>
        <c:lblAlgn val="ctr"/>
        <c:lblOffset val="100"/>
        <c:noMultiLvlLbl val="0"/>
      </c:catAx>
      <c:valAx>
        <c:axId val="36179232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428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0E-900D-6D35AD76C1B4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0E-900D-6D35AD76C1B4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26-400E-900D-6D35AD76C1B4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26-400E-900D-6D35AD76C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5856"/>
        <c:axId val="361793504"/>
      </c:barChart>
      <c:catAx>
        <c:axId val="36179585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3504"/>
        <c:crossesAt val="0"/>
        <c:auto val="1"/>
        <c:lblAlgn val="ctr"/>
        <c:lblOffset val="100"/>
        <c:noMultiLvlLbl val="0"/>
      </c:catAx>
      <c:valAx>
        <c:axId val="36179350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585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E4-49DE-8D35-4F12F7961B43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E4-49DE-8D35-4F12F7961B43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E4-49DE-8D35-4F12F7961B43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E4-49DE-8D35-4F12F7961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5464"/>
        <c:axId val="361796640"/>
      </c:barChart>
      <c:catAx>
        <c:axId val="361795464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6640"/>
        <c:crossesAt val="0"/>
        <c:auto val="1"/>
        <c:lblAlgn val="ctr"/>
        <c:lblOffset val="100"/>
        <c:noMultiLvlLbl val="0"/>
      </c:catAx>
      <c:valAx>
        <c:axId val="36179664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546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3-4AF2-B046-DA2411185171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3-4AF2-B046-DA2411185171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3-4AF2-B046-DA2411185171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3-4AF2-B046-DA241118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7032"/>
        <c:axId val="361797424"/>
      </c:barChart>
      <c:catAx>
        <c:axId val="36179703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7424"/>
        <c:crossesAt val="0"/>
        <c:auto val="1"/>
        <c:lblAlgn val="ctr"/>
        <c:lblOffset val="100"/>
        <c:noMultiLvlLbl val="0"/>
      </c:catAx>
      <c:valAx>
        <c:axId val="36179742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70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რამდენად ხშირად მარხულობთ, როცა ამას თქვენი რელიგია მოითხოვს?</a:t>
            </a:r>
            <a:endParaRPr lang="en-US" sz="1800" b="1" i="0" u="none" strike="noStrike" baseline="0">
              <a:effectLst/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2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კითხვა დაესვა იმ რესპონდენტებს, რომლებიც საკუთარ თავს რომელიმე რელიგიურ ჯგუფს მიაკუთვნებენ (თითოეულ ტალღაში საშუალოდ გამოკითხულთა 99%)</a:t>
            </a:r>
            <a:endParaRPr lang="ka-GE" sz="1200" b="1" i="0" u="none" strike="noStrike" baseline="0"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86576782704108"/>
          <c:y val="0.28556381905965361"/>
          <c:w val="0.42368092679066033"/>
          <c:h val="0.6688231022093111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9D250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DC6-4BD1-BF1F-DB8EDC690DE1}"/>
            </c:ext>
          </c:extLst>
        </c:ser>
        <c:ser>
          <c:idx val="1"/>
          <c:order val="1"/>
          <c:spPr>
            <a:solidFill>
              <a:srgbClr val="B54F2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DC6-4BD1-BF1F-DB8EDC690DE1}"/>
            </c:ext>
          </c:extLst>
        </c:ser>
        <c:ser>
          <c:idx val="0"/>
          <c:order val="2"/>
          <c:spPr>
            <a:solidFill>
              <a:srgbClr val="CB745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DC6-4BD1-BF1F-DB8EDC690DE1}"/>
            </c:ext>
          </c:extLst>
        </c:ser>
        <c:ser>
          <c:idx val="3"/>
          <c:order val="3"/>
          <c:spPr>
            <a:solidFill>
              <a:srgbClr val="DD998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1DC6-4BD1-BF1F-DB8EDC690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30008"/>
        <c:axId val="362325304"/>
      </c:barChart>
      <c:catAx>
        <c:axId val="36233000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2325304"/>
        <c:crossesAt val="0"/>
        <c:auto val="1"/>
        <c:lblAlgn val="ctr"/>
        <c:lblOffset val="100"/>
        <c:noMultiLvlLbl val="0"/>
      </c:catAx>
      <c:valAx>
        <c:axId val="362325304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2330008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2705890802971762E-2"/>
          <c:y val="0.17171380110208698"/>
          <c:w val="0.49847608045630054"/>
          <c:h val="0.10485182103411078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041557305336834E-2"/>
          <c:y val="0.29740901889602339"/>
          <c:w val="0.90044626875052947"/>
          <c:h val="0.66810271281346756"/>
        </c:manualLayout>
      </c:layout>
      <c:barChart>
        <c:barDir val="bar"/>
        <c:grouping val="stacked"/>
        <c:varyColors val="0"/>
        <c:ser>
          <c:idx val="6"/>
          <c:order val="0"/>
          <c:spPr>
            <a:solidFill>
              <a:srgbClr val="3F4D7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E279-4F99-BBDF-1D169672E23D}"/>
            </c:ext>
          </c:extLst>
        </c:ser>
        <c:ser>
          <c:idx val="7"/>
          <c:order val="1"/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CF-4286-8BA5-64EF02D6BDA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DCF-4286-8BA5-64EF02D6BDA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C8-4E9F-9ECD-2E78AA32FDF0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AC8-4E9F-9ECD-2E78AA32FD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E279-4F99-BBDF-1D169672E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25696"/>
        <c:axId val="362329224"/>
      </c:barChart>
      <c:catAx>
        <c:axId val="3623256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2329224"/>
        <c:crosses val="autoZero"/>
        <c:auto val="1"/>
        <c:lblAlgn val="ctr"/>
        <c:lblOffset val="100"/>
        <c:noMultiLvlLbl val="0"/>
      </c:catAx>
      <c:valAx>
        <c:axId val="362329224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232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9371706312650245E-2"/>
          <c:y val="0.17291671737506836"/>
          <c:w val="0.62161712285137039"/>
          <c:h val="5.60779944325377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76-453B-9E02-D9F4A33927B7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76-453B-9E02-D9F4A33927B7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76-453B-9E02-D9F4A33927B7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76-453B-9E02-D9F4A339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31184"/>
        <c:axId val="362326088"/>
      </c:barChart>
      <c:catAx>
        <c:axId val="362331184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2326088"/>
        <c:crossesAt val="0"/>
        <c:auto val="1"/>
        <c:lblAlgn val="ctr"/>
        <c:lblOffset val="100"/>
        <c:noMultiLvlLbl val="0"/>
      </c:catAx>
      <c:valAx>
        <c:axId val="3623260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233118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B-40A3-9DE5-0673258AD81E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9B-40A3-9DE5-0673258AD81E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9B-40A3-9DE5-0673258AD81E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9B-40A3-9DE5-0673258AD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26480"/>
        <c:axId val="362324128"/>
      </c:barChart>
      <c:catAx>
        <c:axId val="36232648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2324128"/>
        <c:crossesAt val="0"/>
        <c:auto val="1"/>
        <c:lblAlgn val="ctr"/>
        <c:lblOffset val="100"/>
        <c:noMultiLvlLbl val="0"/>
      </c:catAx>
      <c:valAx>
        <c:axId val="36232412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23264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7-40E0-81DB-9FD051860B1E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7-40E0-81DB-9FD051860B1E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7-40E0-81DB-9FD051860B1E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7-40E0-81DB-9FD051860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24520"/>
        <c:axId val="362328832"/>
      </c:barChart>
      <c:catAx>
        <c:axId val="36232452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2328832"/>
        <c:crossesAt val="0"/>
        <c:auto val="1"/>
        <c:lblAlgn val="ctr"/>
        <c:lblOffset val="100"/>
        <c:noMultiLvlLbl val="0"/>
      </c:catAx>
      <c:valAx>
        <c:axId val="3623288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232452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8D-4E76-B292-CBC6D0419A2F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8D-4E76-B292-CBC6D0419A2F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8D-4E76-B292-CBC6D0419A2F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8D-4E76-B292-CBC6D0419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28440"/>
        <c:axId val="362324912"/>
      </c:barChart>
      <c:catAx>
        <c:axId val="36232844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2324912"/>
        <c:crossesAt val="0"/>
        <c:auto val="1"/>
        <c:lblAlgn val="ctr"/>
        <c:lblOffset val="100"/>
        <c:noMultiLvlLbl val="0"/>
      </c:catAx>
      <c:valAx>
        <c:axId val="3623249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232844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286576782704108"/>
          <c:y val="0.28556381905965361"/>
          <c:w val="0.42368092679066033"/>
          <c:h val="0.66882310220931118"/>
        </c:manualLayout>
      </c:layout>
      <c:barChart>
        <c:barDir val="bar"/>
        <c:grouping val="stacked"/>
        <c:varyColors val="0"/>
        <c:ser>
          <c:idx val="1"/>
          <c:order val="0"/>
          <c:spPr>
            <a:solidFill>
              <a:srgbClr val="9D250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E2A-44C5-96DC-4F7565F1FFAB}"/>
            </c:ext>
          </c:extLst>
        </c:ser>
        <c:ser>
          <c:idx val="2"/>
          <c:order val="1"/>
          <c:spPr>
            <a:solidFill>
              <a:srgbClr val="CB8E3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E2A-44C5-96DC-4F7565F1F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28048"/>
        <c:axId val="363186352"/>
      </c:barChart>
      <c:catAx>
        <c:axId val="36232804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6352"/>
        <c:crossesAt val="0"/>
        <c:auto val="1"/>
        <c:lblAlgn val="ctr"/>
        <c:lblOffset val="100"/>
        <c:noMultiLvlLbl val="0"/>
      </c:catAx>
      <c:valAx>
        <c:axId val="363186352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2328048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5638948044008795E-2"/>
          <c:y val="0.1818184132767284"/>
          <c:w val="0.49847608045630054"/>
          <c:h val="9.0705363989612778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903846937386295E-2"/>
          <c:y val="0.28724057047912716"/>
          <c:w val="0.90044626875052947"/>
          <c:h val="0.66810271281346756"/>
        </c:manualLayout>
      </c:layout>
      <c:barChart>
        <c:barDir val="bar"/>
        <c:grouping val="stacked"/>
        <c:varyColors val="0"/>
        <c:ser>
          <c:idx val="7"/>
          <c:order val="0"/>
          <c:spPr>
            <a:solidFill>
              <a:srgbClr val="7FA99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7A7-41DA-A886-AF10AD33C851}"/>
            </c:ext>
          </c:extLst>
        </c:ser>
        <c:ser>
          <c:idx val="6"/>
          <c:order val="1"/>
          <c:spPr>
            <a:solidFill>
              <a:srgbClr val="94BE87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7A7-41DA-A886-AF10AD33C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3190272"/>
        <c:axId val="363185960"/>
      </c:barChart>
      <c:catAx>
        <c:axId val="3631902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3185960"/>
        <c:crosses val="autoZero"/>
        <c:auto val="1"/>
        <c:lblAlgn val="ctr"/>
        <c:lblOffset val="100"/>
        <c:noMultiLvlLbl val="0"/>
      </c:catAx>
      <c:valAx>
        <c:axId val="363185960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319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8837253212571839E-2"/>
          <c:y val="0.18918610773410949"/>
          <c:w val="0.89691100199646001"/>
          <c:h val="6.56191271664230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რომელი უცხო ენა უნდა იყოს სავალდებულო საქართველოს საშუალო სკოლებში?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 baseline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ვარიანტები ,,სხვა'', ,,არ ვიცი'' და ,,უარი პასუხზე'' დიაგრამაზე არაა მოცემული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4823205486666911E-2"/>
          <c:y val="0.1804223397431356"/>
          <c:w val="0.9195200271226962"/>
          <c:h val="0.74363327701054138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4DAF4A"/>
              </a:solidFill>
            </a:ln>
          </c:spPr>
          <c:marker>
            <c:symbol val="circle"/>
            <c:size val="13"/>
            <c:spPr>
              <a:solidFill>
                <a:srgbClr val="4DAF4A"/>
              </a:solidFill>
              <a:ln w="25400">
                <a:solidFill>
                  <a:srgbClr val="4DAF4A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4665286205185271E-3"/>
                  <c:y val="3.23347589588525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57-4014-BF02-D130D96D634F}"/>
                </c:ext>
              </c:extLst>
            </c:dLbl>
            <c:dLbl>
              <c:idx val="1"/>
              <c:layout>
                <c:manualLayout>
                  <c:x val="0"/>
                  <c:y val="-2.82929140889960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57-4014-BF02-D130D96D634F}"/>
                </c:ext>
              </c:extLst>
            </c:dLbl>
            <c:dLbl>
              <c:idx val="2"/>
              <c:layout>
                <c:manualLayout>
                  <c:x val="1.1732228964148109E-2"/>
                  <c:y val="2.22301467842111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57-4014-BF02-D130D96D634F}"/>
                </c:ext>
              </c:extLst>
            </c:dLbl>
            <c:dLbl>
              <c:idx val="3"/>
              <c:layout>
                <c:manualLayout>
                  <c:x val="-2.9330572410369736E-3"/>
                  <c:y val="-1.81883019143545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57-4014-BF02-D130D96D634F}"/>
                </c:ext>
              </c:extLst>
            </c:dLbl>
            <c:dLbl>
              <c:idx val="7"/>
              <c:layout>
                <c:manualLayout>
                  <c:x val="0"/>
                  <c:y val="-2.0209224349282868E-2"/>
                </c:manualLayout>
              </c:layout>
              <c:tx>
                <c:rich>
                  <a:bodyPr/>
                  <a:lstStyle/>
                  <a:p>
                    <a:fld id="{12C91C7D-C581-404F-A69B-86678D5F7E1F}" type="VALUE">
                      <a:rPr lang="ka-GE"/>
                      <a:pPr/>
                      <a:t>[VALUE]</a:t>
                    </a:fld>
                    <a:r>
                      <a:rPr lang="ka-GE" baseline="0"/>
                      <a:t>, </a:t>
                    </a:r>
                    <a:fld id="{B1791B8A-4103-4857-80FF-C559F1C8859C}" type="SERIESNAME">
                      <a:rPr lang="ka-GE" baseline="0">
                        <a:solidFill>
                          <a:srgbClr val="4DAF4A"/>
                        </a:solidFill>
                        <a:latin typeface="BPG SSP Crystal" panose="020B0503030403020204" pitchFamily="34" charset="0"/>
                      </a:rPr>
                      <a:pPr/>
                      <a:t>[SERIES NAME]</a:t>
                    </a:fld>
                    <a:endParaRPr lang="ka-GE" baseline="0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C57-4014-BF02-D130D96D63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177-4286-8732-3883AF9E5699}"/>
            </c:ext>
          </c:extLst>
        </c:ser>
        <c:ser>
          <c:idx val="0"/>
          <c:order val="1"/>
          <c:spPr>
            <a:ln>
              <a:solidFill>
                <a:srgbClr val="E41A1C"/>
              </a:solidFill>
            </a:ln>
          </c:spPr>
          <c:marker>
            <c:symbol val="circle"/>
            <c:size val="14"/>
            <c:spPr>
              <a:solidFill>
                <a:srgbClr val="E41A1C"/>
              </a:solidFill>
              <a:ln w="25400">
                <a:solidFill>
                  <a:srgbClr val="E41A1C"/>
                </a:solidFill>
                <a:prstDash val="solid"/>
              </a:ln>
            </c:spPr>
          </c:marker>
          <c:dLbls>
            <c:dLbl>
              <c:idx val="7"/>
              <c:layout>
                <c:manualLayout>
                  <c:x val="0"/>
                  <c:y val="5.6585828177991987E-2"/>
                </c:manualLayout>
              </c:layout>
              <c:tx>
                <c:rich>
                  <a:bodyPr/>
                  <a:lstStyle/>
                  <a:p>
                    <a:fld id="{56FB0A5D-028F-4167-8596-DAB7B285E5C6}" type="VALUE">
                      <a:rPr lang="ka-GE"/>
                      <a:pPr/>
                      <a:t>[VALUE]</a:t>
                    </a:fld>
                    <a:r>
                      <a:rPr lang="ka-GE"/>
                      <a:t>;</a:t>
                    </a:r>
                  </a:p>
                  <a:p>
                    <a:fld id="{489DE934-9D6F-4F77-92EE-B98C2E7063FA}" type="SERIESNAME">
                      <a:rPr lang="ka-GE">
                        <a:solidFill>
                          <a:srgbClr val="FF0000"/>
                        </a:solidFill>
                        <a:latin typeface="BPG SSP Crystal" panose="020B0503030403020204" pitchFamily="34" charset="0"/>
                      </a:rPr>
                      <a:pPr/>
                      <a:t>[SERIES NAME]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7177-4286-8732-3883AF9E569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7177-4286-8732-3883AF9E5699}"/>
            </c:ext>
          </c:extLst>
        </c:ser>
        <c:ser>
          <c:idx val="2"/>
          <c:order val="2"/>
          <c:spPr>
            <a:ln>
              <a:solidFill>
                <a:srgbClr val="377EB8"/>
              </a:solidFill>
            </a:ln>
          </c:spPr>
          <c:marker>
            <c:symbol val="circle"/>
            <c:size val="13"/>
            <c:spPr>
              <a:solidFill>
                <a:srgbClr val="377EB8"/>
              </a:solidFill>
              <a:ln w="25400">
                <a:solidFill>
                  <a:srgbClr val="377EB8"/>
                </a:solidFill>
                <a:prstDash val="solid"/>
              </a:ln>
            </c:spPr>
          </c:marker>
          <c:dLbls>
            <c:dLbl>
              <c:idx val="7"/>
              <c:layout>
                <c:manualLayout>
                  <c:x val="-2.9330572410370273E-3"/>
                  <c:y val="-8.6899664701916471E-2"/>
                </c:manualLayout>
              </c:layout>
              <c:tx>
                <c:rich>
                  <a:bodyPr/>
                  <a:lstStyle/>
                  <a:p>
                    <a:fld id="{556DE676-8DB2-4095-AD03-38D737BF4268}" type="VALUE">
                      <a:rPr lang="ka-GE"/>
                      <a:pPr/>
                      <a:t>[VALUE]</a:t>
                    </a:fld>
                    <a:r>
                      <a:rPr lang="ka-GE" baseline="0"/>
                      <a:t>, </a:t>
                    </a:r>
                  </a:p>
                  <a:p>
                    <a:fld id="{A4ADD231-FC59-4D31-BA4F-4B1D992AB5EB}" type="SERIESNAME">
                      <a:rPr lang="ka-GE" baseline="0">
                        <a:solidFill>
                          <a:srgbClr val="377EB8"/>
                        </a:solidFill>
                        <a:latin typeface="BPG SSP Crystal" panose="020B0503030403020204" pitchFamily="34" charset="0"/>
                      </a:rPr>
                      <a:pPr/>
                      <a:t>[SERIES NAME]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4C57-4014-BF02-D130D96D63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7177-4286-8732-3883AF9E56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3187136"/>
        <c:axId val="363186744"/>
      </c:lineChart>
      <c:catAx>
        <c:axId val="36318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6744"/>
        <c:crossesAt val="0"/>
        <c:auto val="1"/>
        <c:lblAlgn val="ctr"/>
        <c:lblOffset val="100"/>
        <c:noMultiLvlLbl val="0"/>
      </c:catAx>
      <c:valAx>
        <c:axId val="36318674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6318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E4-4803-A2DB-8BF9721A3FBE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E4-4803-A2DB-8BF9721A3FBE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E4-4803-A2DB-8BF9721A3FBE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E4-4803-A2DB-8BF9721A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3187528"/>
        <c:axId val="363184392"/>
      </c:barChart>
      <c:catAx>
        <c:axId val="36318752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4392"/>
        <c:crossesAt val="0"/>
        <c:auto val="1"/>
        <c:lblAlgn val="ctr"/>
        <c:lblOffset val="100"/>
        <c:noMultiLvlLbl val="0"/>
      </c:catAx>
      <c:valAx>
        <c:axId val="36318439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31875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3-431D-8840-DF542C5D75CE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A3-431D-8840-DF542C5D75CE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A3-431D-8840-DF542C5D75CE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A3-431D-8840-DF542C5D7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3185176"/>
        <c:axId val="363189096"/>
      </c:barChart>
      <c:catAx>
        <c:axId val="36318517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9096"/>
        <c:crossesAt val="0"/>
        <c:auto val="1"/>
        <c:lblAlgn val="ctr"/>
        <c:lblOffset val="100"/>
        <c:noMultiLvlLbl val="0"/>
      </c:catAx>
      <c:valAx>
        <c:axId val="36318909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318517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B-45D6-8B9D-A2D1BBC58D31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DB-45D6-8B9D-A2D1BBC58D31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DB-45D6-8B9D-A2D1BBC58D31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DB-45D6-8B9D-A2D1BBC58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3187920"/>
        <c:axId val="363185568"/>
      </c:barChart>
      <c:catAx>
        <c:axId val="36318792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5568"/>
        <c:crossesAt val="0"/>
        <c:auto val="1"/>
        <c:lblAlgn val="ctr"/>
        <c:lblOffset val="100"/>
        <c:noMultiLvlLbl val="0"/>
      </c:catAx>
      <c:valAx>
        <c:axId val="36318556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318792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A5-446D-9E31-46C72CAA8B79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A5-446D-9E31-46C72CAA8B79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A5-446D-9E31-46C72CAA8B79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A5-446D-9E31-46C72CAA8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3188312"/>
        <c:axId val="363189488"/>
      </c:barChart>
      <c:catAx>
        <c:axId val="36318831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9488"/>
        <c:crossesAt val="0"/>
        <c:auto val="1"/>
        <c:lblAlgn val="ctr"/>
        <c:lblOffset val="100"/>
        <c:noMultiLvlLbl val="0"/>
      </c:catAx>
      <c:valAx>
        <c:axId val="3631894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318831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როგორია თქვენი ცოდნის დონე შემდეგში: </a:t>
            </a:r>
            <a:r>
              <a:rPr lang="ka-GE" sz="1800" b="1" i="0" u="none" strike="noStrike" baseline="0">
                <a:solidFill>
                  <a:srgbClr val="FF0000"/>
                </a:solidFill>
                <a:effectLst/>
                <a:latin typeface="BPG SSP Crystal Caps" panose="020B0503030403020204" pitchFamily="34" charset="0"/>
              </a:rPr>
              <a:t>ინგლისური ენა</a:t>
            </a: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86576782704108"/>
          <c:y val="0.28556381905965361"/>
          <c:w val="0.42368092679066033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57B-4DF9-9AA4-5B32C2BC5C94}"/>
            </c:ext>
          </c:extLst>
        </c:ser>
        <c:ser>
          <c:idx val="1"/>
          <c:order val="1"/>
          <c:spPr>
            <a:solidFill>
              <a:srgbClr val="05949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57B-4DF9-9AA4-5B32C2BC5C94}"/>
            </c:ext>
          </c:extLst>
        </c:ser>
        <c:ser>
          <c:idx val="2"/>
          <c:order val="2"/>
          <c:spPr>
            <a:solidFill>
              <a:srgbClr val="62D1C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57B-4DF9-9AA4-5B32C2BC5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7520"/>
        <c:axId val="364155560"/>
      </c:barChart>
      <c:catAx>
        <c:axId val="36415752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5560"/>
        <c:crossesAt val="0"/>
        <c:auto val="1"/>
        <c:lblAlgn val="ctr"/>
        <c:lblOffset val="100"/>
        <c:noMultiLvlLbl val="0"/>
      </c:catAx>
      <c:valAx>
        <c:axId val="364155560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4157520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776455079304555"/>
          <c:y val="0.13331627483844952"/>
          <c:w val="0.23780881686244632"/>
          <c:h val="0.11052743052124363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041659337699913E-2"/>
          <c:y val="0.29334159186376757"/>
          <c:w val="0.90044626875052947"/>
          <c:h val="0.66810271281346756"/>
        </c:manualLayout>
      </c:layout>
      <c:barChart>
        <c:barDir val="bar"/>
        <c:grouping val="stacked"/>
        <c:varyColors val="0"/>
        <c:ser>
          <c:idx val="6"/>
          <c:order val="0"/>
          <c:spPr>
            <a:solidFill>
              <a:srgbClr val="93003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8D8-474F-9236-F1082B5FBFAD}"/>
            </c:ext>
          </c:extLst>
        </c:ser>
        <c:ser>
          <c:idx val="7"/>
          <c:order val="1"/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8D8-474F-9236-F1082B5F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2424"/>
        <c:axId val="364150856"/>
      </c:barChart>
      <c:catAx>
        <c:axId val="3641524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4150856"/>
        <c:crosses val="autoZero"/>
        <c:auto val="1"/>
        <c:lblAlgn val="ctr"/>
        <c:lblOffset val="100"/>
        <c:noMultiLvlLbl val="0"/>
      </c:catAx>
      <c:valAx>
        <c:axId val="36415085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4152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0.13020956768258549"/>
          <c:w val="0.8864134372009409"/>
          <c:h val="7.1720148551063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8C-4111-9FEA-2A46CCE7265B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8C-4111-9FEA-2A46CCE7265B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8C-4111-9FEA-2A46CCE7265B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8C-4111-9FEA-2A46CCE72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2816"/>
        <c:axId val="364153600"/>
      </c:barChart>
      <c:catAx>
        <c:axId val="36415281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3600"/>
        <c:crossesAt val="0"/>
        <c:auto val="1"/>
        <c:lblAlgn val="ctr"/>
        <c:lblOffset val="100"/>
        <c:noMultiLvlLbl val="0"/>
      </c:catAx>
      <c:valAx>
        <c:axId val="36415360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15281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1-4D3D-AF71-1E1CD470E759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1-4D3D-AF71-1E1CD470E759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1-4D3D-AF71-1E1CD470E759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1-4D3D-AF71-1E1CD470E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6736"/>
        <c:axId val="364153992"/>
      </c:barChart>
      <c:catAx>
        <c:axId val="36415673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3992"/>
        <c:crossesAt val="0"/>
        <c:auto val="1"/>
        <c:lblAlgn val="ctr"/>
        <c:lblOffset val="100"/>
        <c:noMultiLvlLbl val="0"/>
      </c:catAx>
      <c:valAx>
        <c:axId val="36415399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15673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3-4475-9CBA-62672C5C63A0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D3-4475-9CBA-62672C5C63A0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3-4475-9CBA-62672C5C63A0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D3-4475-9CBA-62672C5C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7128"/>
        <c:axId val="364151640"/>
      </c:barChart>
      <c:catAx>
        <c:axId val="36415712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1640"/>
        <c:crossesAt val="0"/>
        <c:auto val="1"/>
        <c:lblAlgn val="ctr"/>
        <c:lblOffset val="100"/>
        <c:noMultiLvlLbl val="0"/>
      </c:catAx>
      <c:valAx>
        <c:axId val="36415164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1571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F1-49C3-9CC5-2210E1111B80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F1-49C3-9CC5-2210E1111B80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F1-49C3-9CC5-2210E1111B80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F1-49C3-9CC5-2210E1111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1248"/>
        <c:axId val="364154776"/>
      </c:barChart>
      <c:catAx>
        <c:axId val="36415124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4776"/>
        <c:crossesAt val="0"/>
        <c:auto val="1"/>
        <c:lblAlgn val="ctr"/>
        <c:lblOffset val="100"/>
        <c:noMultiLvlLbl val="0"/>
      </c:catAx>
      <c:valAx>
        <c:axId val="36415477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15124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როგორია თქვენი ცოდნის დონე შემდეგში: </a:t>
            </a:r>
            <a:r>
              <a:rPr lang="ka-GE" sz="1800" b="1" i="0" u="none" strike="noStrike" baseline="0">
                <a:solidFill>
                  <a:srgbClr val="377EB8"/>
                </a:solidFill>
                <a:effectLst/>
                <a:latin typeface="BPG SSP Crystal Caps" panose="020B0503030403020204" pitchFamily="34" charset="0"/>
              </a:rPr>
              <a:t>რუსული ენა</a:t>
            </a: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86576782704108"/>
          <c:y val="0.28556381905965361"/>
          <c:w val="0.42368092679066033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C07-4B7F-B487-58AD38641BBC}"/>
            </c:ext>
          </c:extLst>
        </c:ser>
        <c:ser>
          <c:idx val="1"/>
          <c:order val="1"/>
          <c:spPr>
            <a:solidFill>
              <a:srgbClr val="05949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C07-4B7F-B487-58AD38641BBC}"/>
            </c:ext>
          </c:extLst>
        </c:ser>
        <c:ser>
          <c:idx val="2"/>
          <c:order val="2"/>
          <c:spPr>
            <a:solidFill>
              <a:srgbClr val="62D1C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C07-4B7F-B487-58AD38641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2032"/>
        <c:axId val="364155168"/>
      </c:barChart>
      <c:catAx>
        <c:axId val="36415203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5168"/>
        <c:crossesAt val="0"/>
        <c:auto val="1"/>
        <c:lblAlgn val="ctr"/>
        <c:lblOffset val="100"/>
        <c:noMultiLvlLbl val="0"/>
      </c:catAx>
      <c:valAx>
        <c:axId val="364155168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4152032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776455079304555"/>
          <c:y val="0.13331627483844952"/>
          <c:w val="0.23780881686244632"/>
          <c:h val="0.11052743052124363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041659337699913E-2"/>
          <c:y val="0.29334159186376757"/>
          <c:w val="0.90044626875052947"/>
          <c:h val="0.66810271281346756"/>
        </c:manualLayout>
      </c:layout>
      <c:barChart>
        <c:barDir val="bar"/>
        <c:grouping val="stacked"/>
        <c:varyColors val="0"/>
        <c:ser>
          <c:idx val="6"/>
          <c:order val="0"/>
          <c:spPr>
            <a:solidFill>
              <a:srgbClr val="93003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583-4DBD-9E8D-4CF2E6E02FEB}"/>
            </c:ext>
          </c:extLst>
        </c:ser>
        <c:ser>
          <c:idx val="7"/>
          <c:order val="1"/>
          <c:spPr>
            <a:solidFill>
              <a:srgbClr val="7F7F7F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583-4DBD-9E8D-4CF2E6E02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71456"/>
        <c:axId val="364865968"/>
      </c:barChart>
      <c:catAx>
        <c:axId val="36487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4865968"/>
        <c:crosses val="autoZero"/>
        <c:auto val="1"/>
        <c:lblAlgn val="ctr"/>
        <c:lblOffset val="100"/>
        <c:noMultiLvlLbl val="0"/>
      </c:catAx>
      <c:valAx>
        <c:axId val="364865968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487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0.13020956768258549"/>
          <c:w val="0.86432716110112384"/>
          <c:h val="6.9686474756183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solidFill>
                  <a:sysClr val="windowText" lastClr="000000"/>
                </a:solidFill>
                <a:effectLst/>
                <a:latin typeface="BPG SSP Crystal Caps" panose="020B0503030403020204" pitchFamily="34" charset="0"/>
              </a:rPr>
              <a:t>საინფორმაციო ტექნოლოგიები და ინტერნეტი</a:t>
            </a: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2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ვარიანტები ,,არ ვიცი'' და ,,უარი პასუხზე'' დიაგრამაზე ნაჩვენები არ არის. რესპონდენტებს კითხვა დაესვათ ოჯახში არსებული სხვადასხვა ნივთების, მათ შორის - კომპიუტერების და მობილური ტელეფონის არსებობის შესახებ. </a:t>
            </a:r>
            <a:endParaRPr lang="en-US" sz="12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6.2703913876201419E-3"/>
          <c:y val="1.0523595542449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1624484145670864E-2"/>
          <c:y val="0.17840146308419177"/>
          <c:w val="0.52502382820321603"/>
          <c:h val="0.74363327701054138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4DAF4A"/>
              </a:solidFill>
            </a:ln>
          </c:spPr>
          <c:marker>
            <c:symbol val="circle"/>
            <c:size val="13"/>
            <c:spPr>
              <a:solidFill>
                <a:srgbClr val="4DAF4A"/>
              </a:solidFill>
              <a:ln w="25400">
                <a:solidFill>
                  <a:srgbClr val="4DAF4A"/>
                </a:solidFill>
                <a:prstDash val="solid"/>
              </a:ln>
            </c:spPr>
          </c:marker>
          <c:dLbls>
            <c:dLbl>
              <c:idx val="7"/>
              <c:layout>
                <c:manualLayout>
                  <c:x val="-1.6131814825703705E-2"/>
                  <c:y val="-3.63766038287092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BB-42BE-8EFA-2CCD4AA1D4CE}"/>
                </c:ext>
              </c:extLst>
            </c:dLbl>
            <c:dLbl>
              <c:idx val="8"/>
              <c:layout>
                <c:manualLayout>
                  <c:x val="-0.10265706117364322"/>
                  <c:y val="0.12428672974808963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/>
                    </a:pPr>
                    <a:fld id="{D3581C2D-5A8E-4509-B228-8D9FF906C46F}" type="VALUE">
                      <a:rPr lang="ka-GE"/>
                      <a:pPr>
                        <a:defRPr/>
                      </a:pPr>
                      <a:t>[VALUE]</a:t>
                    </a:fld>
                    <a:endParaRPr lang="ka-GE"/>
                  </a:p>
                  <a:p>
                    <a:pPr>
                      <a:defRPr/>
                    </a:pPr>
                    <a:fld id="{3251E8E3-D791-45CD-818B-2395A560EF3E}" type="SERIESNAME">
                      <a:rPr lang="ka-GE" sz="1000" b="1" i="0" u="none" strike="noStrike" kern="1200" baseline="0">
                        <a:solidFill>
                          <a:srgbClr val="4DAF4A"/>
                        </a:solidFill>
                        <a:latin typeface="BPG SSP Crystal" panose="020B0503030403020204" pitchFamily="34" charset="0"/>
                      </a:rPr>
                      <a:pPr>
                        <a:defRPr/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637767199782535"/>
                      <c:h val="0.17831617060977276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FBB-42BE-8EFA-2CCD4AA1D4C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F3DE-4FDF-AC41-354729CE2C4D}"/>
            </c:ext>
          </c:extLst>
        </c:ser>
        <c:ser>
          <c:idx val="0"/>
          <c:order val="1"/>
          <c:spPr>
            <a:ln>
              <a:solidFill>
                <a:srgbClr val="E41A1C"/>
              </a:solidFill>
            </a:ln>
          </c:spPr>
          <c:marker>
            <c:symbol val="circle"/>
            <c:size val="14"/>
            <c:spPr>
              <a:solidFill>
                <a:srgbClr val="E41A1C"/>
              </a:solidFill>
              <a:ln w="25400">
                <a:solidFill>
                  <a:srgbClr val="E41A1C"/>
                </a:solidFill>
                <a:prstDash val="solid"/>
              </a:ln>
            </c:spPr>
          </c:marker>
          <c:dLbls>
            <c:dLbl>
              <c:idx val="7"/>
              <c:layout>
                <c:manualLayout>
                  <c:x val="-1.4665286205185137E-3"/>
                  <c:y val="3.63766038287091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BB-42BE-8EFA-2CCD4AA1D4CE}"/>
                </c:ext>
              </c:extLst>
            </c:dLbl>
            <c:dLbl>
              <c:idx val="8"/>
              <c:layout>
                <c:manualLayout>
                  <c:x val="-0.12318840412355521"/>
                  <c:y val="-0.13944364801005177"/>
                </c:manualLayout>
              </c:layout>
              <c:tx>
                <c:rich>
                  <a:bodyPr/>
                  <a:lstStyle/>
                  <a:p>
                    <a:fld id="{46EEA2EF-368E-4B01-9A7A-0B899ACF81EC}" type="VALUE">
                      <a:rPr lang="ka-GE"/>
                      <a:pPr/>
                      <a:t>[VALUE]</a:t>
                    </a:fld>
                    <a:r>
                      <a:rPr lang="ka-GE" baseline="0"/>
                      <a:t>, </a:t>
                    </a:r>
                  </a:p>
                  <a:p>
                    <a:fld id="{4F9E4AD7-ED87-4B97-9DB3-7032CA762F0D}" type="SERIESNAME">
                      <a:rPr lang="ka-GE" sz="1000" baseline="0">
                        <a:solidFill>
                          <a:srgbClr val="FF0000"/>
                        </a:solidFill>
                        <a:latin typeface="BPG SSP Crystal" panose="020B0503030403020204" pitchFamily="34" charset="0"/>
                      </a:rPr>
                      <a:pPr/>
                      <a:t>[SERIES NAME]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FBB-42BE-8EFA-2CCD4AA1D4C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F3DE-4FDF-AC41-354729CE2C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4866360"/>
        <c:axId val="364874984"/>
      </c:lineChart>
      <c:catAx>
        <c:axId val="36486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74984"/>
        <c:crossesAt val="0"/>
        <c:auto val="1"/>
        <c:lblAlgn val="ctr"/>
        <c:lblOffset val="100"/>
        <c:noMultiLvlLbl val="0"/>
      </c:catAx>
      <c:valAx>
        <c:axId val="364874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6486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2344019351475392E-2"/>
          <c:y val="0.18446423038897661"/>
          <c:w val="0.95818238501195607"/>
          <c:h val="0.74161233647435598"/>
        </c:manualLayout>
      </c:layout>
      <c:lineChart>
        <c:grouping val="standard"/>
        <c:varyColors val="0"/>
        <c:ser>
          <c:idx val="3"/>
          <c:order val="0"/>
          <c:marker>
            <c:symbol val="triangle"/>
            <c:size val="13"/>
          </c:marker>
          <c:dLbls>
            <c:dLbl>
              <c:idx val="5"/>
              <c:layout>
                <c:manualLayout>
                  <c:x val="-9.2006062462135149E-4"/>
                  <c:y val="-0.15242290300256561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/>
                    </a:pPr>
                    <a:fld id="{C25F2883-A07D-44E2-AB69-FE30367C8D99}" type="VALUE">
                      <a:rPr lang="ka-GE"/>
                      <a:pPr>
                        <a:defRPr/>
                      </a:pPr>
                      <a:t>[VALUE]</a:t>
                    </a:fld>
                    <a:r>
                      <a:rPr lang="ka-GE" baseline="0"/>
                      <a:t>, </a:t>
                    </a:r>
                    <a:fld id="{BBE6F509-2B17-4ED8-8EF9-409AAE8BE0B6}" type="SERIESNAME">
                      <a:rPr lang="ka-GE" sz="1000" baseline="0">
                        <a:solidFill>
                          <a:srgbClr val="7030A0"/>
                        </a:solidFill>
                        <a:latin typeface="BPG SSP Crystal" panose="020B0503030403020204" pitchFamily="34" charset="0"/>
                      </a:rPr>
                      <a:pPr>
                        <a:defRPr/>
                      </a:pPr>
                      <a:t>[SERIES NAME]</a:t>
                    </a:fld>
                    <a:endParaRPr lang="ka-GE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5133532653243"/>
                      <c:h val="0.1847831224015432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46F-4C19-B342-EAB4247A8C1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0F8D-4E9A-8AD6-B2BA149201F3}"/>
            </c:ext>
          </c:extLst>
        </c:ser>
        <c:ser>
          <c:idx val="4"/>
          <c:order val="1"/>
          <c:spPr>
            <a:ln>
              <a:solidFill>
                <a:srgbClr val="377EB8"/>
              </a:solidFill>
            </a:ln>
          </c:spPr>
          <c:marker>
            <c:symbol val="triangle"/>
            <c:size val="13"/>
            <c:spPr>
              <a:solidFill>
                <a:srgbClr val="377EB8"/>
              </a:solidFill>
              <a:ln>
                <a:solidFill>
                  <a:srgbClr val="377EB8"/>
                </a:solidFill>
              </a:ln>
            </c:spPr>
          </c:marker>
          <c:dLbls>
            <c:dLbl>
              <c:idx val="5"/>
              <c:layout>
                <c:manualLayout>
                  <c:x val="-2.3917664787334311E-2"/>
                  <c:y val="-0.13135995827033878"/>
                </c:manualLayout>
              </c:layout>
              <c:tx>
                <c:rich>
                  <a:bodyPr/>
                  <a:lstStyle/>
                  <a:p>
                    <a:fld id="{16BCB083-8939-4F75-907D-71666F4213C3}" type="VALUE">
                      <a:rPr lang="ka-GE"/>
                      <a:pPr/>
                      <a:t>[VALUE]</a:t>
                    </a:fld>
                    <a:r>
                      <a:rPr lang="ka-GE" baseline="0"/>
                      <a:t>, </a:t>
                    </a:r>
                    <a:fld id="{CF410332-EE78-4FFF-8AF8-EA7BE53D0A57}" type="SERIESNAME">
                      <a:rPr lang="ka-GE" sz="1000" b="1" i="0" baseline="0">
                        <a:solidFill>
                          <a:srgbClr val="377EB8"/>
                        </a:solidFill>
                        <a:latin typeface="BPG SSP Crystal" panose="020B0503030403020204" pitchFamily="34" charset="0"/>
                      </a:rPr>
                      <a:pPr/>
                      <a:t>[SERIES NAME]</a:t>
                    </a:fld>
                    <a:endParaRPr lang="ka-GE" baseline="0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796380776165516"/>
                      <c:h val="0.1469918728683843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46F-4C19-B342-EAB4247A8C1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0F8D-4E9A-8AD6-B2BA149201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4869888"/>
        <c:axId val="364873024"/>
      </c:lineChart>
      <c:catAx>
        <c:axId val="36486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73024"/>
        <c:crossesAt val="0"/>
        <c:auto val="1"/>
        <c:lblAlgn val="ctr"/>
        <c:lblOffset val="100"/>
        <c:noMultiLvlLbl val="0"/>
      </c:catAx>
      <c:valAx>
        <c:axId val="364873024"/>
        <c:scaling>
          <c:orientation val="minMax"/>
          <c:max val="100"/>
        </c:scaling>
        <c:delete val="1"/>
        <c:axPos val="l"/>
        <c:numFmt formatCode="General" sourceLinked="1"/>
        <c:majorTickMark val="out"/>
        <c:minorTickMark val="none"/>
        <c:tickLblPos val="nextTo"/>
        <c:crossAx val="36486988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FA-43E9-9936-1832B46CDE22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FA-43E9-9936-1832B46CDE22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FA-43E9-9936-1832B46CDE22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FA-43E9-9936-1832B46CD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64008"/>
        <c:axId val="364866752"/>
      </c:barChart>
      <c:catAx>
        <c:axId val="36486400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66752"/>
        <c:crossesAt val="0"/>
        <c:auto val="1"/>
        <c:lblAlgn val="ctr"/>
        <c:lblOffset val="100"/>
        <c:noMultiLvlLbl val="0"/>
      </c:catAx>
      <c:valAx>
        <c:axId val="36486675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86400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94-4394-9579-A69A947448D5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94-4394-9579-A69A947448D5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94-4394-9579-A69A947448D5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94-4394-9579-A69A94744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75768"/>
        <c:axId val="364865576"/>
      </c:barChart>
      <c:catAx>
        <c:axId val="36487576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65576"/>
        <c:crossesAt val="0"/>
        <c:auto val="1"/>
        <c:lblAlgn val="ctr"/>
        <c:lblOffset val="100"/>
        <c:noMultiLvlLbl val="0"/>
      </c:catAx>
      <c:valAx>
        <c:axId val="36486557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8757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F4-42DB-B7B6-74BDB5F7BC78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F4-42DB-B7B6-74BDB5F7BC78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F4-42DB-B7B6-74BDB5F7BC78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F4-42DB-B7B6-74BDB5F7B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63616"/>
        <c:axId val="364869496"/>
      </c:barChart>
      <c:catAx>
        <c:axId val="36486361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69496"/>
        <c:crossesAt val="0"/>
        <c:auto val="1"/>
        <c:lblAlgn val="ctr"/>
        <c:lblOffset val="100"/>
        <c:noMultiLvlLbl val="0"/>
      </c:catAx>
      <c:valAx>
        <c:axId val="36486949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86361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6-443D-A419-70DA7192887D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06-443D-A419-70DA7192887D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06-443D-A419-70DA7192887D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06-443D-A419-70DA71928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64400"/>
        <c:axId val="364867536"/>
      </c:barChart>
      <c:catAx>
        <c:axId val="36486440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67536"/>
        <c:crossesAt val="0"/>
        <c:auto val="1"/>
        <c:lblAlgn val="ctr"/>
        <c:lblOffset val="100"/>
        <c:noMultiLvlLbl val="0"/>
      </c:catAx>
      <c:valAx>
        <c:axId val="36486753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86440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რამდენად ხშირად სარგებლობთ ინტერნეტით? </a:t>
            </a:r>
            <a:endParaRPr lang="ka-GE" sz="1800" b="1" i="0" u="none" strike="noStrike" baseline="0">
              <a:solidFill>
                <a:srgbClr val="377EB8"/>
              </a:solidFill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86576782704108"/>
          <c:y val="0.28556381905965361"/>
          <c:w val="0.42368092679066033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9D250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7B5-4C2A-BAC4-8FECAFAFD48C}"/>
            </c:ext>
          </c:extLst>
        </c:ser>
        <c:ser>
          <c:idx val="1"/>
          <c:order val="1"/>
          <c:spPr>
            <a:solidFill>
              <a:srgbClr val="B54F2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7B5-4C2A-BAC4-8FECAFAFD48C}"/>
            </c:ext>
          </c:extLst>
        </c:ser>
        <c:ser>
          <c:idx val="2"/>
          <c:order val="2"/>
          <c:spPr>
            <a:solidFill>
              <a:srgbClr val="CB745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7B5-4C2A-BAC4-8FECAFAFD48C}"/>
            </c:ext>
          </c:extLst>
        </c:ser>
        <c:ser>
          <c:idx val="3"/>
          <c:order val="3"/>
          <c:spPr>
            <a:solidFill>
              <a:srgbClr val="DD998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7B5-4C2A-BAC4-8FECAFAFD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68712"/>
        <c:axId val="364874592"/>
      </c:barChart>
      <c:catAx>
        <c:axId val="36486871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74592"/>
        <c:crossesAt val="0"/>
        <c:auto val="1"/>
        <c:lblAlgn val="ctr"/>
        <c:lblOffset val="100"/>
        <c:noMultiLvlLbl val="0"/>
      </c:catAx>
      <c:valAx>
        <c:axId val="364874592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4868712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776455079304555"/>
          <c:y val="9.4918748574812084E-2"/>
          <c:w val="0.2801069665190361"/>
          <c:h val="0.18328063817866194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041659337699913E-2"/>
          <c:y val="0.28317322288936686"/>
          <c:w val="0.90044626875052947"/>
          <c:h val="0.66810271281346756"/>
        </c:manualLayout>
      </c:layout>
      <c:barChart>
        <c:barDir val="bar"/>
        <c:grouping val="stacked"/>
        <c:varyColors val="0"/>
        <c:ser>
          <c:idx val="6"/>
          <c:order val="0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21-44C5-8BEE-E01D6D48D39C}"/>
            </c:ext>
          </c:extLst>
        </c:ser>
        <c:ser>
          <c:idx val="7"/>
          <c:order val="1"/>
          <c:spPr>
            <a:solidFill>
              <a:srgbClr val="62D1C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121-44C5-8BEE-E01D6D48D39C}"/>
            </c:ext>
          </c:extLst>
        </c:ser>
        <c:ser>
          <c:idx val="8"/>
          <c:order val="2"/>
          <c:spPr>
            <a:solidFill>
              <a:srgbClr val="7F7F7F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E121-44C5-8BEE-E01D6D48D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70280"/>
        <c:axId val="364873416"/>
      </c:barChart>
      <c:catAx>
        <c:axId val="3648702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4873416"/>
        <c:crosses val="autoZero"/>
        <c:auto val="1"/>
        <c:lblAlgn val="ctr"/>
        <c:lblOffset val="100"/>
        <c:noMultiLvlLbl val="0"/>
      </c:catAx>
      <c:valAx>
        <c:axId val="36487341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487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9.3603439374742983E-2"/>
          <c:w val="0.62588084242870534"/>
          <c:h val="0.165269143115549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ka-GE" sz="1800" b="1" i="0" kern="1200" spc="0" baseline="0">
                <a:solidFill>
                  <a:srgbClr val="000000"/>
                </a:solidFill>
                <a:effectLst/>
                <a:latin typeface="BPG SSP Crystal Caps" panose="020B0503030403020204" pitchFamily="34" charset="0"/>
              </a:rPr>
              <a:t>რას აკეთებთ ყველაზე ხშირად, როდესაც ინტერნეტით სარგებლობთ?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1.8576346121582731E-2"/>
          <c:y val="1.21483379017142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2737953506654693"/>
          <c:y val="0.16994764219616024"/>
          <c:w val="0.66827725375990132"/>
          <c:h val="0.80975545406387606"/>
        </c:manualLayout>
      </c:layout>
      <c:scatterChart>
        <c:scatterStyle val="lineMarker"/>
        <c:varyColors val="0"/>
        <c:ser>
          <c:idx val="3"/>
          <c:order val="0"/>
          <c:spPr>
            <a:ln w="19050">
              <a:noFill/>
            </a:ln>
          </c:spPr>
          <c:marker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1-CA14-4C64-98D8-560AE54B2488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83A5B4"/>
              </a:solidFill>
              <a:ln w="25400">
                <a:solidFill>
                  <a:srgbClr val="3F4D7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F4D71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2-CA14-4C64-98D8-560AE54B2488}"/>
            </c:ext>
          </c:extLst>
        </c:ser>
        <c:ser>
          <c:idx val="1"/>
          <c:order val="2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dLbls>
            <c:dLbl>
              <c:idx val="5"/>
              <c:layout>
                <c:manualLayout>
                  <c:x val="-4.5792413913037858E-2"/>
                  <c:y val="-4.671863460751696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BC-47E7-9BE0-517C78C2A8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9-CA14-4C64-98D8-560AE54B2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865184"/>
        <c:axId val="364872632"/>
      </c:scatterChart>
      <c:valAx>
        <c:axId val="364865184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4872632"/>
        <c:crosses val="autoZero"/>
        <c:crossBetween val="midCat"/>
      </c:valAx>
      <c:valAx>
        <c:axId val="364872632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36486518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19794325712080477"/>
          <c:y val="0.11202991474412496"/>
          <c:w val="0.60118042851735343"/>
          <c:h val="4.1816067733681885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>
      <a:noFill/>
    </a:ln>
  </c:spPr>
  <c:txPr>
    <a:bodyPr/>
    <a:lstStyle/>
    <a:p>
      <a:pPr algn="ctr">
        <a:defRPr lang="en-US" sz="1400" b="1" i="0" u="none" strike="noStrike" kern="1200" baseline="0">
          <a:solidFill>
            <a:schemeClr val="tx1"/>
          </a:solidFill>
          <a:latin typeface="Gill Sans MT" panose="020B0502020104020203" pitchFamily="34" charset="0"/>
          <a:ea typeface="+mn-ea"/>
          <a:cs typeface="+mn-cs"/>
        </a:defRPr>
      </a:pPr>
      <a:endParaRPr lang="en-US"/>
    </a:p>
  </c:txPr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9222164087502953"/>
          <c:y val="0.13291737529768655"/>
          <c:w val="0.52199746291875027"/>
          <c:h val="0.8603097555586041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7F7F7F">
                <a:alpha val="0"/>
              </a:srgbClr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3B4-4490-A5EC-DDE1B1588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364873808"/>
        <c:axId val="364878512"/>
      </c:barChart>
      <c:catAx>
        <c:axId val="364873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4878512"/>
        <c:crosses val="autoZero"/>
        <c:auto val="1"/>
        <c:lblAlgn val="ctr"/>
        <c:lblOffset val="100"/>
        <c:noMultiLvlLbl val="0"/>
      </c:catAx>
      <c:valAx>
        <c:axId val="364878512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487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 rtl="0">
              <a:defRPr lang="az-Latn-AZ" sz="2800" b="1" i="0" u="none" strike="noStrike" kern="1200" spc="0" baseline="0">
                <a:solidFill>
                  <a:sysClr val="windowText" lastClr="000000"/>
                </a:solidFill>
                <a:latin typeface="BPG SSP Crystal Caps" panose="020B0503030403020204" pitchFamily="34" charset="0"/>
                <a:ea typeface="+mn-ea"/>
                <a:cs typeface="+mn-cs"/>
              </a:defRPr>
            </a:pPr>
            <a:r>
              <a:rPr lang="ka-GE" sz="2400" b="1" i="0" u="none" strike="noStrike" baseline="0">
                <a:effectLst/>
              </a:rPr>
              <a:t>ზოგადად, თქვენი აზრით, საბჭოთა კავშირის დაშლა საქართველოსთვის კარგი მოვლენა იყო თუ ცუდი? </a:t>
            </a:r>
            <a:endParaRPr lang="az-Latn-AZ" sz="2400" b="1" i="0" u="none" strike="noStrike" kern="1200" spc="0" baseline="0">
              <a:solidFill>
                <a:sysClr val="windowText" lastClr="000000"/>
              </a:solidFill>
              <a:latin typeface="BPG SSP Crystal Caps" panose="020B0503030403020204" pitchFamily="34" charset="0"/>
              <a:ea typeface="+mn-ea"/>
              <a:cs typeface="+mn-cs"/>
            </a:endParaRPr>
          </a:p>
        </c:rich>
      </c:tx>
      <c:layout>
        <c:manualLayout>
          <c:xMode val="edge"/>
          <c:yMode val="edge"/>
          <c:x val="3.5145513541547588E-2"/>
          <c:y val="6.072048557322446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 rtl="0">
            <a:defRPr lang="az-Latn-AZ" sz="2800" b="1" i="0" u="none" strike="noStrike" kern="1200" spc="0" baseline="0">
              <a:solidFill>
                <a:sysClr val="windowText" lastClr="000000"/>
              </a:solidFill>
              <a:latin typeface="BPG SSP Crystal Caps" panose="020B05030304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454704704646906E-2"/>
          <c:y val="0.23282538164006292"/>
          <c:w val="0.93341348046964945"/>
          <c:h val="0.5516495120212802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5856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93003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3E-4BBC-B4B7-7D3CC7516C1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23E-4BBC-B4B7-7D3CC7516C1A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23E-4BBC-B4B7-7D3CC7516C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723E-4BBC-B4B7-7D3CC7516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877336"/>
        <c:axId val="364878120"/>
      </c:barChart>
      <c:catAx>
        <c:axId val="364877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4878120"/>
        <c:crosses val="autoZero"/>
        <c:auto val="1"/>
        <c:lblAlgn val="ctr"/>
        <c:lblOffset val="100"/>
        <c:noMultiLvlLbl val="0"/>
      </c:catAx>
      <c:valAx>
        <c:axId val="364878120"/>
        <c:scaling>
          <c:orientation val="minMax"/>
          <c:max val="50"/>
        </c:scaling>
        <c:delete val="1"/>
        <c:axPos val="l"/>
        <c:numFmt formatCode="General" sourceLinked="1"/>
        <c:majorTickMark val="out"/>
        <c:minorTickMark val="none"/>
        <c:tickLblPos val="nextTo"/>
        <c:crossAx val="36487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458764333007771"/>
          <c:y val="0.29163183758021433"/>
          <c:w val="0.70088418922590023"/>
          <c:h val="0.61223208655149319"/>
        </c:manualLayout>
      </c:layout>
      <c:barChart>
        <c:barDir val="bar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79296"/>
        <c:axId val="364876160"/>
      </c:barChart>
      <c:catAx>
        <c:axId val="36487929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76160"/>
        <c:crossesAt val="0"/>
        <c:auto val="1"/>
        <c:lblAlgn val="ctr"/>
        <c:lblOffset val="100"/>
        <c:noMultiLvlLbl val="0"/>
      </c:catAx>
      <c:valAx>
        <c:axId val="3648761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879296"/>
        <c:crosses val="max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ზოგადად, თქვენი აზრით, საბჭოთა კავშირის დაშლა საქართველოსთვის კარგი მოვლენა იყო თუ ცუდი?</a:t>
            </a:r>
            <a:endParaRPr lang="en-US" sz="1800" b="1" i="0" u="none" strike="noStrike" baseline="0">
              <a:effectLst/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2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სიხშირე ასაკობრივ ჭრილში (%)</a:t>
            </a:r>
            <a:endParaRPr lang="en-US" sz="1200">
              <a:effectLst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endParaRPr lang="ka-GE" sz="1800" b="1" i="0" u="none" strike="noStrike" baseline="0"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993271058600403"/>
          <c:y val="0.24716629279601621"/>
          <c:w val="0.30635863714917916"/>
          <c:h val="0.66882316594526103"/>
        </c:manualLayout>
      </c:layout>
      <c:barChart>
        <c:barDir val="bar"/>
        <c:grouping val="stacked"/>
        <c:varyColors val="0"/>
        <c:ser>
          <c:idx val="0"/>
          <c:order val="0"/>
          <c:tx>
            <c:v>კარგი მოვლენა</c:v>
          </c:tx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CC7-409B-99B3-7021F4F8E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77728"/>
        <c:axId val="365721032"/>
      </c:barChart>
      <c:catAx>
        <c:axId val="364877728"/>
        <c:scaling>
          <c:orientation val="maxMin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5721032"/>
        <c:crossesAt val="0"/>
        <c:auto val="1"/>
        <c:lblAlgn val="ctr"/>
        <c:lblOffset val="100"/>
        <c:noMultiLvlLbl val="0"/>
      </c:catAx>
      <c:valAx>
        <c:axId val="365721032"/>
        <c:scaling>
          <c:orientation val="minMax"/>
          <c:max val="100"/>
        </c:scaling>
        <c:delete val="1"/>
        <c:axPos val="b"/>
        <c:numFmt formatCode="General" sourceLinked="1"/>
        <c:majorTickMark val="out"/>
        <c:minorTickMark val="none"/>
        <c:tickLblPos val="nextTo"/>
        <c:crossAx val="364877728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8858450469478553E-2"/>
          <c:y val="0.15155972174787774"/>
          <c:w val="0.27240536048430852"/>
          <c:h val="4.187949749639068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99196985291106E-2"/>
          <c:y val="0.25063440203674797"/>
          <c:w val="0.90044626875052947"/>
          <c:h val="0.6742037487807967"/>
        </c:manualLayout>
      </c:layout>
      <c:barChart>
        <c:barDir val="bar"/>
        <c:grouping val="stacked"/>
        <c:varyColors val="0"/>
        <c:ser>
          <c:idx val="2"/>
          <c:order val="0"/>
          <c:tx>
            <c:v>არ ვიცი/უარი პასუხზე</c:v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A59-423C-AA96-150277651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5726128"/>
        <c:axId val="365720640"/>
      </c:barChart>
      <c:catAx>
        <c:axId val="365726128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365720640"/>
        <c:crosses val="autoZero"/>
        <c:auto val="1"/>
        <c:lblAlgn val="ctr"/>
        <c:lblOffset val="100"/>
        <c:noMultiLvlLbl val="0"/>
      </c:catAx>
      <c:valAx>
        <c:axId val="365720640"/>
        <c:scaling>
          <c:orientation val="minMax"/>
          <c:max val="100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365726128"/>
        <c:crosses val="autoZero"/>
        <c:crossBetween val="between"/>
        <c:majorUnit val="50"/>
      </c:val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4.2750591538296308E-3"/>
          <c:y val="0.14855892117872829"/>
          <c:w val="0.84734484701607415"/>
          <c:h val="4.21437412655936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5959106108752922"/>
          <c:y val="0.25728312929569519"/>
          <c:w val="0.70887992339805872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tx>
            <c:v>ცუდი მოვლენა</c:v>
          </c:tx>
          <c:spPr>
            <a:solidFill>
              <a:srgbClr val="93003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128-4296-857D-118027DD9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5722600"/>
        <c:axId val="365716328"/>
      </c:barChart>
      <c:catAx>
        <c:axId val="365722600"/>
        <c:scaling>
          <c:orientation val="maxMin"/>
        </c:scaling>
        <c:delete val="1"/>
        <c:axPos val="l"/>
        <c:numFmt formatCode="General" sourceLinked="1"/>
        <c:majorTickMark val="out"/>
        <c:minorTickMark val="out"/>
        <c:tickLblPos val="nextTo"/>
        <c:crossAx val="365716328"/>
        <c:crossesAt val="0"/>
        <c:auto val="1"/>
        <c:lblAlgn val="ctr"/>
        <c:lblOffset val="100"/>
        <c:noMultiLvlLbl val="0"/>
      </c:catAx>
      <c:valAx>
        <c:axId val="365716328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5722600"/>
        <c:crosses val="max"/>
        <c:crossBetween val="between"/>
      </c:val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0.33497174167785221"/>
          <c:y val="0.14952967779865334"/>
          <c:w val="0.41227017272683375"/>
          <c:h val="4.187949749639068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000" b="1" i="0" u="none" strike="noStrike" baseline="0">
                <a:effectLst/>
                <a:latin typeface="BPG SSP Crystal Caps" panose="020B0503030403020204" pitchFamily="34" charset="0"/>
              </a:rPr>
              <a:t>რატომ იყო საბჭოთა კავშირის დაშლა საქართველოსთვის კარგი მოვლენა?</a:t>
            </a:r>
            <a:endParaRPr lang="en-US" sz="2000" b="1" i="0" u="none" strike="noStrike" baseline="0">
              <a:effectLst/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კითხვა დაესვა მხოლოდ იმ რესპონდენტებს, რომლებმაც თქვეს, რომ საბჭოთა კავშირის დაშლა საქართველოსთვის კარგი მოვლენა იყო (41%)</a:t>
            </a:r>
            <a:endParaRPr lang="en-US" sz="1400">
              <a:effectLst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42958210882348485"/>
          <c:y val="0.18244429241766155"/>
          <c:w val="0.46314834409369021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86B3-4DAD-81C5-42B31E15327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5724952"/>
        <c:axId val="365721816"/>
      </c:barChart>
      <c:catAx>
        <c:axId val="3657249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5721816"/>
        <c:crossesAt val="0"/>
        <c:auto val="1"/>
        <c:lblAlgn val="ctr"/>
        <c:lblOffset val="100"/>
        <c:noMultiLvlLbl val="0"/>
      </c:catAx>
      <c:valAx>
        <c:axId val="365721816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572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000" b="1" i="0" u="none" strike="noStrike" baseline="0">
                <a:effectLst/>
                <a:latin typeface="BPG SSP Crystal Caps" panose="020B0503030403020204" pitchFamily="34" charset="0"/>
              </a:rPr>
              <a:t>რატომ იყო საბჭოთა კავშირის დაშლა საქართველოსთვის ცუდი მოვლენა?</a:t>
            </a:r>
            <a:endParaRPr lang="en-US" sz="2000" b="1" i="0" u="none" strike="noStrike" baseline="0">
              <a:effectLst/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კითხვა დაესვა მხოლოდ იმ რესპონდენტებს, რომლებმაც თქვეს, რომ საბჭოთა კავშირის დაშლა საქართველოსთვის ცუდი მოვლენა იყო (42%)</a:t>
            </a:r>
            <a:endParaRPr lang="en-US" sz="1400">
              <a:effectLst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43691963490781233"/>
          <c:y val="0.18244429241766155"/>
          <c:w val="0.46314834409369021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3E9-4BED-9074-5B4F5C891EF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5716720"/>
        <c:axId val="365727304"/>
      </c:barChart>
      <c:catAx>
        <c:axId val="3657167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5727304"/>
        <c:crossesAt val="0"/>
        <c:auto val="1"/>
        <c:lblAlgn val="ctr"/>
        <c:lblOffset val="100"/>
        <c:noMultiLvlLbl val="0"/>
      </c:catAx>
      <c:valAx>
        <c:axId val="365727304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571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რა არის ამჟამად ყველაზე მნიშვნელოვანი პრობლემა საქართველოში?</a:t>
            </a:r>
            <a:r>
              <a:rPr lang="en-US" sz="1800" b="1" i="0" u="none" strike="noStrike" baseline="0">
                <a:effectLst/>
                <a:latin typeface="BPG SSP Crystal Caps" panose="020B0503030403020204" pitchFamily="34" charset="0"/>
              </a:rPr>
              <a:t> </a:t>
            </a: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მეორე მნიშვნელოვანი პრობლემა?</a:t>
            </a:r>
            <a:endParaRPr lang="en-US" sz="1800" b="1" i="0" u="none" strike="noStrike" baseline="0"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2224264328042362"/>
          <c:y val="0.2390589960303704"/>
          <c:w val="0.28618694013537788"/>
          <c:h val="0.71936984657952452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3F4D71"/>
            </a:solidFill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B4-4FE2-AE0C-34C9B4D03A1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DC-490A-83EE-DB63D5C02F1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39-4E1E-800B-67B1E287E9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(#REF!,#REF!,#REF!)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(#REF!,#REF!,#REF!)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22-40B5-A101-4E5FA8DD4689}"/>
            </c:ext>
          </c:extLst>
        </c:ser>
        <c:ser>
          <c:idx val="1"/>
          <c:order val="1"/>
          <c:spPr>
            <a:solidFill>
              <a:srgbClr val="55AE95"/>
            </a:solidFill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F22-40B5-A101-4E5FA8DD468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F22-40B5-A101-4E5FA8DD468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39-4E1E-800B-67B1E287E97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(#REF!,#REF!,#REF!)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(#REF!,#REF!,#REF!)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5F22-40B5-A101-4E5FA8DD4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5723384"/>
        <c:axId val="365726520"/>
      </c:barChart>
      <c:catAx>
        <c:axId val="365723384"/>
        <c:scaling>
          <c:orientation val="maxMin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5726520"/>
        <c:crossesAt val="0"/>
        <c:auto val="1"/>
        <c:lblAlgn val="ctr"/>
        <c:lblOffset val="100"/>
        <c:noMultiLvlLbl val="0"/>
      </c:catAx>
      <c:valAx>
        <c:axId val="3657265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5723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57458409943319"/>
          <c:y val="0.23097536240947425"/>
          <c:w val="0.62619389082351673"/>
          <c:h val="0.73755807963993847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3F4D71"/>
            </a:solidFill>
          </c:spPr>
          <c:invertIfNegative val="0"/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32-412D-8B7E-7CEC2D06A89E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32-412D-8B7E-7CEC2D06A89E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232-412D-8B7E-7CEC2D06A89E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232-412D-8B7E-7CEC2D06A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(#REF!,#REF!,#REF!)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(#REF!,#REF!,#REF!)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080-4955-BA39-311F5CF9CE11}"/>
            </c:ext>
          </c:extLst>
        </c:ser>
        <c:ser>
          <c:idx val="1"/>
          <c:order val="1"/>
          <c:spPr>
            <a:solidFill>
              <a:srgbClr val="55AE95"/>
            </a:solidFill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80-4955-BA39-311F5CF9CE1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80-4955-BA39-311F5CF9CE11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32-412D-8B7E-7CEC2D06A89E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32-412D-8B7E-7CEC2D06A89E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32-412D-8B7E-7CEC2D06A8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(#REF!,#REF!,#REF!)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(#REF!,#REF!,#REF!)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080-4955-BA39-311F5CF9C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5715544"/>
        <c:axId val="365719856"/>
      </c:barChart>
      <c:catAx>
        <c:axId val="365715544"/>
        <c:scaling>
          <c:orientation val="maxMin"/>
        </c:scaling>
        <c:delete val="1"/>
        <c:axPos val="l"/>
        <c:numFmt formatCode="General" sourceLinked="1"/>
        <c:majorTickMark val="out"/>
        <c:minorTickMark val="out"/>
        <c:tickLblPos val="low"/>
        <c:crossAx val="365719856"/>
        <c:crossesAt val="0"/>
        <c:auto val="1"/>
        <c:lblAlgn val="ctr"/>
        <c:lblOffset val="100"/>
        <c:noMultiLvlLbl val="0"/>
      </c:catAx>
      <c:valAx>
        <c:axId val="3657198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571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baseline="0">
                <a:effectLst/>
                <a:latin typeface="BPG SSP Crystal Caps" panose="020B0503030403020204" pitchFamily="34" charset="0"/>
              </a:rPr>
              <a:t>რა არის ამჟამად ყველაზე მნიშვნელოვანი პრობლემა საქართველოში?</a:t>
            </a:r>
            <a:r>
              <a:rPr lang="en-US" sz="1800" b="1" i="0" baseline="0">
                <a:effectLst/>
                <a:latin typeface="BPG SSP Crystal Caps" panose="020B0503030403020204" pitchFamily="34" charset="0"/>
              </a:rPr>
              <a:t> </a:t>
            </a:r>
            <a:r>
              <a:rPr lang="ka-GE" sz="1800" b="1" i="0" baseline="0">
                <a:effectLst/>
                <a:latin typeface="BPG SSP Crystal Caps" panose="020B0503030403020204" pitchFamily="34" charset="0"/>
              </a:rPr>
              <a:t>მეორე მნიშვნელოვანი პრობლემა?</a:t>
            </a:r>
            <a:endParaRPr lang="ka-GE"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319238107203474E-2"/>
          <c:y val="0.19861068743347468"/>
          <c:w val="0.9195200271226962"/>
          <c:h val="0.2161725033930015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3F4D71"/>
              </a:solidFill>
            </a:ln>
          </c:spPr>
          <c:marker>
            <c:symbol val="circle"/>
            <c:size val="10"/>
            <c:spPr>
              <a:solidFill>
                <a:srgbClr val="3F4D71"/>
              </a:solidFill>
              <a:ln w="25400">
                <a:solidFill>
                  <a:srgbClr val="3F4D7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0B5-4790-B796-7944DEBDD90F}"/>
            </c:ext>
          </c:extLst>
        </c:ser>
        <c:ser>
          <c:idx val="3"/>
          <c:order val="1"/>
          <c:spPr>
            <a:ln>
              <a:solidFill>
                <a:srgbClr val="00B050"/>
              </a:solidFill>
            </a:ln>
          </c:spPr>
          <c:marker>
            <c:symbol val="circle"/>
            <c:size val="10"/>
            <c:spPr>
              <a:solidFill>
                <a:srgbClr val="00B050"/>
              </a:solidFill>
              <a:ln w="25400">
                <a:solidFill>
                  <a:srgbClr val="00B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90B5-4790-B796-7944DEBDD90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5717112"/>
        <c:axId val="365725344"/>
      </c:lineChart>
      <c:catAx>
        <c:axId val="3657171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365725344"/>
        <c:crossesAt val="0"/>
        <c:auto val="1"/>
        <c:lblAlgn val="ctr"/>
        <c:lblOffset val="100"/>
        <c:noMultiLvlLbl val="0"/>
      </c:catAx>
      <c:valAx>
        <c:axId val="365725344"/>
        <c:scaling>
          <c:orientation val="minMax"/>
          <c:max val="100"/>
        </c:scaling>
        <c:delete val="1"/>
        <c:axPos val="l"/>
        <c:numFmt formatCode="General" sourceLinked="1"/>
        <c:majorTickMark val="out"/>
        <c:minorTickMark val="none"/>
        <c:tickLblPos val="nextTo"/>
        <c:crossAx val="365717112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t"/>
      <c:layout>
        <c:manualLayout>
          <c:xMode val="edge"/>
          <c:yMode val="edge"/>
          <c:x val="0.25239708144638062"/>
          <c:y val="0.13443176037142965"/>
          <c:w val="0.50961292189545704"/>
          <c:h val="4.1816067733681885E-2"/>
        </c:manualLayout>
      </c:layout>
      <c:overlay val="0"/>
      <c:txPr>
        <a:bodyPr/>
        <a:lstStyle/>
        <a:p>
          <a:pPr>
            <a:defRPr>
              <a:latin typeface="BPG SSP Crystal" panose="020B0503030403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8319238107203474E-2"/>
          <c:y val="0.19797296792958424"/>
          <c:w val="0.9195200271226962"/>
          <c:h val="0.61394332006638175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3F4D71"/>
              </a:solidFill>
            </a:ln>
          </c:spPr>
          <c:marker>
            <c:symbol val="triangle"/>
            <c:size val="10"/>
            <c:spPr>
              <a:solidFill>
                <a:srgbClr val="3F4D71"/>
              </a:solidFill>
              <a:ln w="25400">
                <a:solidFill>
                  <a:srgbClr val="3F4D7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3F9-4877-B808-4135E93144DE}"/>
            </c:ext>
          </c:extLst>
        </c:ser>
        <c:ser>
          <c:idx val="3"/>
          <c:order val="1"/>
          <c:spPr>
            <a:ln>
              <a:solidFill>
                <a:srgbClr val="00B050"/>
              </a:solidFill>
            </a:ln>
          </c:spPr>
          <c:marker>
            <c:symbol val="triangle"/>
            <c:size val="10"/>
            <c:spPr>
              <a:solidFill>
                <a:srgbClr val="00B050"/>
              </a:solidFill>
              <a:ln w="25400">
                <a:solidFill>
                  <a:srgbClr val="00B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3F9-4877-B808-4135E93144D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5719464"/>
        <c:axId val="365717504"/>
      </c:lineChart>
      <c:catAx>
        <c:axId val="3657194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365717504"/>
        <c:crossesAt val="0"/>
        <c:auto val="1"/>
        <c:lblAlgn val="ctr"/>
        <c:lblOffset val="100"/>
        <c:noMultiLvlLbl val="0"/>
      </c:catAx>
      <c:valAx>
        <c:axId val="365717504"/>
        <c:scaling>
          <c:orientation val="minMax"/>
          <c:max val="100"/>
        </c:scaling>
        <c:delete val="1"/>
        <c:axPos val="l"/>
        <c:numFmt formatCode="General" sourceLinked="1"/>
        <c:majorTickMark val="out"/>
        <c:minorTickMark val="none"/>
        <c:tickLblPos val="nextTo"/>
        <c:crossAx val="365719464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6852709486684961E-2"/>
          <c:y val="0.11169091806899763"/>
          <c:w val="0.9195200271226962"/>
          <c:h val="0.69608632707491214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3F4D71"/>
              </a:solidFill>
            </a:ln>
          </c:spPr>
          <c:marker>
            <c:symbol val="square"/>
            <c:size val="10"/>
            <c:spPr>
              <a:solidFill>
                <a:srgbClr val="3F4D71"/>
              </a:solidFill>
              <a:ln w="25400">
                <a:solidFill>
                  <a:srgbClr val="3F4D7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AB0-44F1-92AF-6CD899F5A259}"/>
            </c:ext>
          </c:extLst>
        </c:ser>
        <c:ser>
          <c:idx val="3"/>
          <c:order val="1"/>
          <c:spPr>
            <a:ln>
              <a:solidFill>
                <a:srgbClr val="00B050"/>
              </a:solidFill>
            </a:ln>
          </c:spPr>
          <c:marker>
            <c:symbol val="square"/>
            <c:size val="10"/>
            <c:spPr>
              <a:solidFill>
                <a:srgbClr val="00B050"/>
              </a:solidFill>
              <a:ln w="25400">
                <a:solidFill>
                  <a:srgbClr val="00B050"/>
                </a:solidFill>
              </a:ln>
            </c:spPr>
          </c:marker>
          <c:dLbls>
            <c:dLbl>
              <c:idx val="8"/>
              <c:layout>
                <c:manualLayout>
                  <c:x val="5.8661144820739471E-3"/>
                  <c:y val="9.15948612638359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B0-44F1-92AF-6CD899F5A25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AB0-44F1-92AF-6CD899F5A2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5726912"/>
        <c:axId val="365717896"/>
      </c:lineChart>
      <c:catAx>
        <c:axId val="36572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5717896"/>
        <c:crossesAt val="0"/>
        <c:auto val="1"/>
        <c:lblAlgn val="ctr"/>
        <c:lblOffset val="100"/>
        <c:noMultiLvlLbl val="0"/>
      </c:catAx>
      <c:valAx>
        <c:axId val="365717896"/>
        <c:scaling>
          <c:orientation val="minMax"/>
          <c:max val="100"/>
        </c:scaling>
        <c:delete val="1"/>
        <c:axPos val="l"/>
        <c:numFmt formatCode="General" sourceLinked="1"/>
        <c:majorTickMark val="out"/>
        <c:minorTickMark val="none"/>
        <c:tickLblPos val="nextTo"/>
        <c:crossAx val="365726912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Approval of having business with the</a:t>
            </a:r>
            <a:r>
              <a:rPr lang="en-US" sz="14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 following nationalities</a:t>
            </a:r>
          </a:p>
          <a:p>
            <a:pPr algn="l"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100" b="1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Caucasus Barometer, Georgia and Armenia,</a:t>
            </a:r>
            <a:r>
              <a:rPr lang="en-US" sz="11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 2019 and 2009</a:t>
            </a:r>
            <a:endParaRPr lang="en-US" sz="1100" b="0" baseline="0">
              <a:solidFill>
                <a:sysClr val="windowText" lastClr="000000"/>
              </a:solidFill>
              <a:latin typeface="Lucida Fax" panose="020606020505050202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8.7891547932452234E-3"/>
          <c:y val="1.9993861017444867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65372026426272"/>
          <c:y val="0.16601216244237033"/>
          <c:w val="0.44463131717973414"/>
          <c:h val="0.7719554757187771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latin typeface="Lucida Fax" panose="020606020505050202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Sheet2!$F$4:$F$16</c:f>
              <c:strCache>
                <c:ptCount val="13"/>
                <c:pt idx="0">
                  <c:v>Georgian</c:v>
                </c:pt>
                <c:pt idx="1">
                  <c:v>Ukrainian</c:v>
                </c:pt>
                <c:pt idx="2">
                  <c:v>Russian</c:v>
                </c:pt>
                <c:pt idx="3">
                  <c:v>Italian</c:v>
                </c:pt>
                <c:pt idx="4">
                  <c:v>American</c:v>
                </c:pt>
                <c:pt idx="5">
                  <c:v>Armenian </c:v>
                </c:pt>
                <c:pt idx="6">
                  <c:v>Azerbaijani</c:v>
                </c:pt>
                <c:pt idx="7">
                  <c:v>Jew</c:v>
                </c:pt>
                <c:pt idx="8">
                  <c:v>Turk</c:v>
                </c:pt>
                <c:pt idx="9">
                  <c:v>Kurd</c:v>
                </c:pt>
                <c:pt idx="10">
                  <c:v>Indian</c:v>
                </c:pt>
                <c:pt idx="11">
                  <c:v>Arab</c:v>
                </c:pt>
                <c:pt idx="12">
                  <c:v>Iranian</c:v>
                </c:pt>
              </c:strCache>
            </c:strRef>
          </c:cat>
          <c:val>
            <c:numRef>
              <c:f>Sheet2!$G$4:$G$16</c:f>
              <c:numCache>
                <c:formatCode>0</c:formatCode>
                <c:ptCount val="13"/>
                <c:pt idx="0" formatCode="General">
                  <c:v>98</c:v>
                </c:pt>
                <c:pt idx="1">
                  <c:v>84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65</c:v>
                </c:pt>
                <c:pt idx="6">
                  <c:v>73</c:v>
                </c:pt>
                <c:pt idx="7">
                  <c:v>71</c:v>
                </c:pt>
                <c:pt idx="8">
                  <c:v>64</c:v>
                </c:pt>
                <c:pt idx="9">
                  <c:v>60</c:v>
                </c:pt>
                <c:pt idx="10">
                  <c:v>57</c:v>
                </c:pt>
                <c:pt idx="11">
                  <c:v>57</c:v>
                </c:pt>
                <c:pt idx="1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45-44A3-9F5A-C66D7D9AB8F6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latin typeface="Lucida Fax" panose="020606020505050202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Sheet2!$F$4:$F$16</c:f>
              <c:strCache>
                <c:ptCount val="13"/>
                <c:pt idx="0">
                  <c:v>Georgian</c:v>
                </c:pt>
                <c:pt idx="1">
                  <c:v>Ukrainian</c:v>
                </c:pt>
                <c:pt idx="2">
                  <c:v>Russian</c:v>
                </c:pt>
                <c:pt idx="3">
                  <c:v>Italian</c:v>
                </c:pt>
                <c:pt idx="4">
                  <c:v>American</c:v>
                </c:pt>
                <c:pt idx="5">
                  <c:v>Armenian </c:v>
                </c:pt>
                <c:pt idx="6">
                  <c:v>Azerbaijani</c:v>
                </c:pt>
                <c:pt idx="7">
                  <c:v>Jew</c:v>
                </c:pt>
                <c:pt idx="8">
                  <c:v>Turk</c:v>
                </c:pt>
                <c:pt idx="9">
                  <c:v>Kurd</c:v>
                </c:pt>
                <c:pt idx="10">
                  <c:v>Indian</c:v>
                </c:pt>
                <c:pt idx="11">
                  <c:v>Arab</c:v>
                </c:pt>
                <c:pt idx="12">
                  <c:v>Iranian</c:v>
                </c:pt>
              </c:strCache>
            </c:strRef>
          </c:cat>
          <c:val>
            <c:numRef>
              <c:f>Sheet2!$H$4:$H$16</c:f>
              <c:numCache>
                <c:formatCode>0</c:formatCode>
                <c:ptCount val="13"/>
                <c:pt idx="0" formatCode="General">
                  <c:v>75</c:v>
                </c:pt>
                <c:pt idx="1">
                  <c:v>72</c:v>
                </c:pt>
                <c:pt idx="2">
                  <c:v>87</c:v>
                </c:pt>
                <c:pt idx="3">
                  <c:v>78</c:v>
                </c:pt>
                <c:pt idx="4">
                  <c:v>79</c:v>
                </c:pt>
                <c:pt idx="5" formatCode="General">
                  <c:v>96</c:v>
                </c:pt>
                <c:pt idx="6">
                  <c:v>14</c:v>
                </c:pt>
                <c:pt idx="7">
                  <c:v>62</c:v>
                </c:pt>
                <c:pt idx="8">
                  <c:v>26</c:v>
                </c:pt>
                <c:pt idx="9">
                  <c:v>62</c:v>
                </c:pt>
                <c:pt idx="10">
                  <c:v>64</c:v>
                </c:pt>
                <c:pt idx="11">
                  <c:v>59</c:v>
                </c:pt>
                <c:pt idx="1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45-44A3-9F5A-C66D7D9AB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4"/>
        <c:overlap val="-10"/>
        <c:axId val="365718288"/>
        <c:axId val="365718680"/>
      </c:barChart>
      <c:catAx>
        <c:axId val="365718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Lucida Fax" panose="020606020505050202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5718680"/>
        <c:crosses val="autoZero"/>
        <c:auto val="1"/>
        <c:lblAlgn val="ctr"/>
        <c:lblOffset val="100"/>
        <c:noMultiLvlLbl val="0"/>
      </c:catAx>
      <c:valAx>
        <c:axId val="36571868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6571828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userShapes r:id="rId1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63229716867141E-2"/>
          <c:y val="5.8880558571697134E-3"/>
          <c:w val="0.92636761310957205"/>
          <c:h val="0.99411194414283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Sheet2!$G$20</c:f>
              <c:strCache>
                <c:ptCount val="1"/>
                <c:pt idx="0">
                  <c:v>Georgia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Lucida Fax" panose="020606020505050202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Sheet2!$G$21:$G$33</c:f>
              <c:numCache>
                <c:formatCode>0</c:formatCode>
                <c:ptCount val="13"/>
                <c:pt idx="0" formatCode="General">
                  <c:v>98</c:v>
                </c:pt>
                <c:pt idx="1">
                  <c:v>84</c:v>
                </c:pt>
                <c:pt idx="2">
                  <c:v>81</c:v>
                </c:pt>
                <c:pt idx="3">
                  <c:v>89</c:v>
                </c:pt>
                <c:pt idx="4">
                  <c:v>89</c:v>
                </c:pt>
                <c:pt idx="5">
                  <c:v>80</c:v>
                </c:pt>
                <c:pt idx="6">
                  <c:v>83</c:v>
                </c:pt>
                <c:pt idx="7">
                  <c:v>84</c:v>
                </c:pt>
                <c:pt idx="8">
                  <c:v>80</c:v>
                </c:pt>
                <c:pt idx="9">
                  <c:v>75</c:v>
                </c:pt>
                <c:pt idx="10">
                  <c:v>65</c:v>
                </c:pt>
                <c:pt idx="11">
                  <c:v>54.43</c:v>
                </c:pt>
                <c:pt idx="1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9-43EC-9719-E1912F7436F7}"/>
            </c:ext>
          </c:extLst>
        </c:ser>
        <c:ser>
          <c:idx val="1"/>
          <c:order val="1"/>
          <c:tx>
            <c:strRef>
              <c:f>Sheet2!$H$20</c:f>
              <c:strCache>
                <c:ptCount val="1"/>
                <c:pt idx="0">
                  <c:v>Armenia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Lucida Fax" panose="020606020505050202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Sheet2!$H$21:$H$33</c:f>
              <c:numCache>
                <c:formatCode>0</c:formatCode>
                <c:ptCount val="13"/>
                <c:pt idx="0">
                  <c:v>66</c:v>
                </c:pt>
                <c:pt idx="1">
                  <c:v>81</c:v>
                </c:pt>
                <c:pt idx="2">
                  <c:v>93</c:v>
                </c:pt>
                <c:pt idx="3">
                  <c:v>81</c:v>
                </c:pt>
                <c:pt idx="4">
                  <c:v>84</c:v>
                </c:pt>
                <c:pt idx="5" formatCode="General">
                  <c:v>92</c:v>
                </c:pt>
                <c:pt idx="6">
                  <c:v>35</c:v>
                </c:pt>
                <c:pt idx="7">
                  <c:v>70</c:v>
                </c:pt>
                <c:pt idx="8">
                  <c:v>42</c:v>
                </c:pt>
                <c:pt idx="9">
                  <c:v>57</c:v>
                </c:pt>
                <c:pt idx="10">
                  <c:v>68</c:v>
                </c:pt>
                <c:pt idx="11">
                  <c:v>59</c:v>
                </c:pt>
                <c:pt idx="1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9-43EC-9719-E1912F743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4"/>
        <c:overlap val="-15"/>
        <c:axId val="365728480"/>
        <c:axId val="365729264"/>
      </c:barChart>
      <c:catAx>
        <c:axId val="365728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365729264"/>
        <c:crosses val="autoZero"/>
        <c:auto val="1"/>
        <c:lblAlgn val="ctr"/>
        <c:lblOffset val="100"/>
        <c:noMultiLvlLbl val="0"/>
      </c:catAx>
      <c:valAx>
        <c:axId val="36572926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6572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667842719981082"/>
          <c:y val="0.73647123348086108"/>
          <c:w val="0.2379371153714524"/>
          <c:h val="9.484239516285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Approval of women marrying</a:t>
            </a:r>
            <a:r>
              <a:rPr lang="en-US" sz="14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 the following nationalities</a:t>
            </a:r>
          </a:p>
          <a:p>
            <a:pPr algn="l"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100" b="1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Caucasus Barometer, Georgia and Armenia,</a:t>
            </a:r>
            <a:r>
              <a:rPr lang="en-US" sz="11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 2019 and 20</a:t>
            </a:r>
            <a:r>
              <a:rPr lang="ka-GE" sz="11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0</a:t>
            </a:r>
            <a:r>
              <a:rPr lang="en-US" sz="11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9</a:t>
            </a:r>
            <a:endParaRPr lang="en-US" sz="1100" b="0" baseline="0">
              <a:solidFill>
                <a:sysClr val="windowText" lastClr="000000"/>
              </a:solidFill>
              <a:latin typeface="Lucida Fax" panose="020606020505050202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7.321850153304452E-3"/>
          <c:y val="8.0619894026967287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93915471256604"/>
          <c:y val="0.17409119069174014"/>
          <c:w val="0.45926855296934044"/>
          <c:h val="0.7557929736507935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  <a:latin typeface="Lucida Fax" panose="020606020505050202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Sheet2!$I$4:$I$16</c:f>
              <c:strCache>
                <c:ptCount val="13"/>
                <c:pt idx="0">
                  <c:v>Georgian</c:v>
                </c:pt>
                <c:pt idx="1">
                  <c:v>Ukrainian</c:v>
                </c:pt>
                <c:pt idx="2">
                  <c:v>Russian</c:v>
                </c:pt>
                <c:pt idx="3">
                  <c:v>Italian</c:v>
                </c:pt>
                <c:pt idx="4">
                  <c:v>American</c:v>
                </c:pt>
                <c:pt idx="5">
                  <c:v>Armenian </c:v>
                </c:pt>
                <c:pt idx="6">
                  <c:v>Azerbaijani</c:v>
                </c:pt>
                <c:pt idx="7">
                  <c:v>Jew</c:v>
                </c:pt>
                <c:pt idx="8">
                  <c:v>Turk</c:v>
                </c:pt>
                <c:pt idx="9">
                  <c:v>Kurd</c:v>
                </c:pt>
                <c:pt idx="10">
                  <c:v>Indian</c:v>
                </c:pt>
                <c:pt idx="11">
                  <c:v>Arab</c:v>
                </c:pt>
                <c:pt idx="12">
                  <c:v>Iranian</c:v>
                </c:pt>
              </c:strCache>
            </c:strRef>
          </c:cat>
          <c:val>
            <c:numRef>
              <c:f>Sheet2!$J$4:$J$16</c:f>
              <c:numCache>
                <c:formatCode>0</c:formatCode>
                <c:ptCount val="13"/>
                <c:pt idx="0" formatCode="General">
                  <c:v>91</c:v>
                </c:pt>
                <c:pt idx="1">
                  <c:v>54</c:v>
                </c:pt>
                <c:pt idx="2">
                  <c:v>49</c:v>
                </c:pt>
                <c:pt idx="3">
                  <c:v>47</c:v>
                </c:pt>
                <c:pt idx="4">
                  <c:v>45</c:v>
                </c:pt>
                <c:pt idx="5">
                  <c:v>37</c:v>
                </c:pt>
                <c:pt idx="6">
                  <c:v>37</c:v>
                </c:pt>
                <c:pt idx="7">
                  <c:v>36</c:v>
                </c:pt>
                <c:pt idx="8">
                  <c:v>30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99-4935-A922-5692E55727AF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Lucida Fax" panose="020606020505050202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Sheet2!$I$4:$I$16</c:f>
              <c:strCache>
                <c:ptCount val="13"/>
                <c:pt idx="0">
                  <c:v>Georgian</c:v>
                </c:pt>
                <c:pt idx="1">
                  <c:v>Ukrainian</c:v>
                </c:pt>
                <c:pt idx="2">
                  <c:v>Russian</c:v>
                </c:pt>
                <c:pt idx="3">
                  <c:v>Italian</c:v>
                </c:pt>
                <c:pt idx="4">
                  <c:v>American</c:v>
                </c:pt>
                <c:pt idx="5">
                  <c:v>Armenian </c:v>
                </c:pt>
                <c:pt idx="6">
                  <c:v>Azerbaijani</c:v>
                </c:pt>
                <c:pt idx="7">
                  <c:v>Jew</c:v>
                </c:pt>
                <c:pt idx="8">
                  <c:v>Turk</c:v>
                </c:pt>
                <c:pt idx="9">
                  <c:v>Kurd</c:v>
                </c:pt>
                <c:pt idx="10">
                  <c:v>Indian</c:v>
                </c:pt>
                <c:pt idx="11">
                  <c:v>Arab</c:v>
                </c:pt>
                <c:pt idx="12">
                  <c:v>Iranian</c:v>
                </c:pt>
              </c:strCache>
            </c:strRef>
          </c:cat>
          <c:val>
            <c:numRef>
              <c:f>Sheet2!$K$4:$K$16</c:f>
              <c:numCache>
                <c:formatCode>0</c:formatCode>
                <c:ptCount val="13"/>
                <c:pt idx="0">
                  <c:v>34</c:v>
                </c:pt>
                <c:pt idx="1">
                  <c:v>34</c:v>
                </c:pt>
                <c:pt idx="2">
                  <c:v>45</c:v>
                </c:pt>
                <c:pt idx="3">
                  <c:v>41</c:v>
                </c:pt>
                <c:pt idx="4">
                  <c:v>40</c:v>
                </c:pt>
                <c:pt idx="5" formatCode="General">
                  <c:v>98</c:v>
                </c:pt>
                <c:pt idx="6">
                  <c:v>4</c:v>
                </c:pt>
                <c:pt idx="7">
                  <c:v>23</c:v>
                </c:pt>
                <c:pt idx="8">
                  <c:v>5</c:v>
                </c:pt>
                <c:pt idx="9">
                  <c:v>14</c:v>
                </c:pt>
                <c:pt idx="10">
                  <c:v>18</c:v>
                </c:pt>
                <c:pt idx="11">
                  <c:v>13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99-4935-A922-5692E55727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4"/>
        <c:overlap val="-10"/>
        <c:axId val="365730832"/>
        <c:axId val="365731224"/>
      </c:barChart>
      <c:catAx>
        <c:axId val="3657308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Lucida Fax" panose="020606020505050202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5731224"/>
        <c:crosses val="autoZero"/>
        <c:auto val="1"/>
        <c:lblAlgn val="ctr"/>
        <c:lblOffset val="100"/>
        <c:noMultiLvlLbl val="0"/>
      </c:catAx>
      <c:valAx>
        <c:axId val="36573122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6573083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userShapes r:id="rId1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1144548249527E-3"/>
          <c:y val="2.6404776065855066E-2"/>
          <c:w val="0.99204688554517506"/>
          <c:h val="0.9735952239341448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Sheet2!$K$20</c:f>
              <c:strCache>
                <c:ptCount val="1"/>
                <c:pt idx="0">
                  <c:v>Georgia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Lucida Fax" panose="020606020505050202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Sheet2!$K$21:$K$33</c:f>
              <c:numCache>
                <c:formatCode>0</c:formatCode>
                <c:ptCount val="13"/>
                <c:pt idx="0" formatCode="General">
                  <c:v>91</c:v>
                </c:pt>
                <c:pt idx="1">
                  <c:v>47</c:v>
                </c:pt>
                <c:pt idx="2">
                  <c:v>42</c:v>
                </c:pt>
                <c:pt idx="3">
                  <c:v>46</c:v>
                </c:pt>
                <c:pt idx="4">
                  <c:v>43</c:v>
                </c:pt>
                <c:pt idx="5">
                  <c:v>34</c:v>
                </c:pt>
                <c:pt idx="6">
                  <c:v>25</c:v>
                </c:pt>
                <c:pt idx="7">
                  <c:v>32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27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DD-46D0-BA76-235D919AB1D8}"/>
            </c:ext>
          </c:extLst>
        </c:ser>
        <c:ser>
          <c:idx val="1"/>
          <c:order val="1"/>
          <c:tx>
            <c:strRef>
              <c:f>Sheet2!$L$20</c:f>
              <c:strCache>
                <c:ptCount val="1"/>
                <c:pt idx="0">
                  <c:v>Armenia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Lucida Fax" panose="020606020505050202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Sheet2!$L$21:$L$33</c:f>
              <c:numCache>
                <c:formatCode>0</c:formatCode>
                <c:ptCount val="13"/>
                <c:pt idx="0">
                  <c:v>33</c:v>
                </c:pt>
                <c:pt idx="1">
                  <c:v>40</c:v>
                </c:pt>
                <c:pt idx="2">
                  <c:v>54</c:v>
                </c:pt>
                <c:pt idx="3">
                  <c:v>44</c:v>
                </c:pt>
                <c:pt idx="4">
                  <c:v>45</c:v>
                </c:pt>
                <c:pt idx="5" formatCode="General">
                  <c:v>98</c:v>
                </c:pt>
                <c:pt idx="6">
                  <c:v>8</c:v>
                </c:pt>
                <c:pt idx="7">
                  <c:v>36</c:v>
                </c:pt>
                <c:pt idx="8">
                  <c:v>9</c:v>
                </c:pt>
                <c:pt idx="9">
                  <c:v>18</c:v>
                </c:pt>
                <c:pt idx="10">
                  <c:v>23</c:v>
                </c:pt>
                <c:pt idx="11">
                  <c:v>15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D-46D0-BA76-235D919AB1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4"/>
        <c:overlap val="-15"/>
        <c:axId val="365729656"/>
        <c:axId val="365730048"/>
      </c:barChart>
      <c:catAx>
        <c:axId val="365729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365730048"/>
        <c:crosses val="autoZero"/>
        <c:auto val="1"/>
        <c:lblAlgn val="ctr"/>
        <c:lblOffset val="100"/>
        <c:noMultiLvlLbl val="0"/>
      </c:catAx>
      <c:valAx>
        <c:axId val="36573004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65729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63379552256662"/>
          <c:y val="0.59077327969402105"/>
          <c:w val="0.39355517656947631"/>
          <c:h val="9.9865901719174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.bin"/></Relationships>
</file>

<file path=xl/chart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7.bin"/></Relationships>
</file>

<file path=xl/chart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8.bin"/></Relationships>
</file>

<file path=xl/chart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9.bin"/></Relationships>
</file>

<file path=xl/chart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0.bin"/></Relationships>
</file>

<file path=xl/chart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1.bin"/></Relationships>
</file>

<file path=xl/chart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12.bin"/></Relationships>
</file>

<file path=xl/chart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3.bin"/></Relationships>
</file>

<file path=xl/chart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14.bin"/></Relationships>
</file>

<file path=xl/chart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15.bin"/></Relationships>
</file>

<file path=xl/chart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16.bin"/></Relationships>
</file>

<file path=xl/chart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17.bin"/></Relationships>
</file>

<file path=xl/chart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6.xml"/></Relationships>
</file>

<file path=xl/chart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8.xml"/></Relationships>
</file>

<file path=xl/chart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18.bin"/></Relationships>
</file>

<file path=xl/chart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19.bin"/></Relationships>
</file>

<file path=xl/chart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20.bin"/></Relationships>
</file>

<file path=xl/chart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21.bin"/></Relationships>
</file>

<file path=xl/chart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8.xml"/></Relationships>
</file>

<file path=xl/chart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22.bin"/></Relationships>
</file>

<file path=xl/chart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2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zoomScale="8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/>
  <sheetViews>
    <sheetView zoomScale="6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2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2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4"/>
  <sheetViews>
    <sheetView zoomScale="66" workbookViewId="0" zoomToFit="1"/>
  </sheetViews>
  <pageMargins left="0.7" right="0.7" top="0.75" bottom="0.75" header="0.3" footer="0.3"/>
  <pageSetup orientation="landscape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14"/>
  <sheetViews>
    <sheetView zoomScale="66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6"/>
  <sheetViews>
    <sheetView zoomScale="66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17"/>
  <sheetViews>
    <sheetView zoomScale="66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15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________1"/>
  <sheetViews>
    <sheetView zoomScale="70" workbookViewId="0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19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Chart18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21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Chart20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Chart22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1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Chart23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1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Chart24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1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Chart25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2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Chart26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2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400-000000000000}">
  <sheetPr codeName="Chart27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2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500-000000000000}">
  <sheetPr codeName="Chart29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2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600-000000000000}">
  <sheetPr codeName="Chart28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2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Chart31"/>
  <sheetViews>
    <sheetView zoomScale="66" workbookViewId="0" zoomToFit="1"/>
  </sheetViews>
  <pageMargins left="0.7" right="0.7" top="0.75" bottom="0.75" header="0.3" footer="0.3"/>
  <drawing r:id="rId1"/>
</chartsheet>
</file>

<file path=xl/chartsheets/sheet2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8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2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900-000000000000}">
  <sheetPr codeName="Chart35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2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A00-000000000000}">
  <sheetPr codeName="Chart30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2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B00-000000000000}">
  <sheetPr codeName="Chart32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2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Chart33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3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D00-000000000000}">
  <sheetPr/>
  <sheetViews>
    <sheetView zoomScale="93" workbookViewId="0"/>
  </sheetViews>
  <pageMargins left="0.7" right="0.7" top="0.75" bottom="0.75" header="0.3" footer="0.3"/>
  <drawing r:id="rId1"/>
</chartsheet>
</file>

<file path=xl/chartsheets/sheet3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E00-000000000000}">
  <sheetPr>
    <tabColor rgb="FF92D050"/>
  </sheetPr>
  <sheetViews>
    <sheetView zoomScale="80" workbookViewId="0"/>
  </sheetViews>
  <pageMargins left="0.7" right="0.7" top="0.75" bottom="0.75" header="0.3" footer="0.3"/>
  <pageSetup orientation="landscape" r:id="rId1"/>
  <drawing r:id="rId2"/>
</chartsheet>
</file>

<file path=xl/chartsheets/sheet3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F00-000000000000}">
  <sheetPr>
    <tabColor rgb="FF92D050"/>
  </sheetPr>
  <sheetViews>
    <sheetView zoomScale="80" workbookViewId="0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8.xml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9.xml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0.xml"/></Relationships>
</file>

<file path=xl/drawings/_rels/drawing8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3.xml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4.xml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5.xml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879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076A7F-4225-4BD9-A658-51922FF569C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0.73004</cdr:x>
      <cdr:y>0.21692</cdr:y>
    </cdr:from>
    <cdr:to>
      <cdr:x>0.88221</cdr:x>
      <cdr:y>0.25698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F2C56A2-17D8-4CCE-8361-F52C06965E49}"/>
            </a:ext>
          </a:extLst>
        </cdr:cNvPr>
        <cdr:cNvSpPr txBox="1"/>
      </cdr:nvSpPr>
      <cdr:spPr>
        <a:xfrm xmlns:a="http://schemas.openxmlformats.org/drawingml/2006/main">
          <a:off x="6322036" y="1363195"/>
          <a:ext cx="1317778" cy="2517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ka-GE" sz="1200" b="1">
              <a:solidFill>
                <a:srgbClr val="00429D"/>
              </a:solidFill>
              <a:latin typeface="BPG SSP Crystal" panose="020B0503030403020204" pitchFamily="34" charset="0"/>
            </a:rPr>
            <a:t>ძალიან ბედნიერი</a:t>
          </a:r>
          <a:endParaRPr lang="en-US" sz="1200" b="1">
            <a:solidFill>
              <a:srgbClr val="00429D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0.72866</cdr:x>
      <cdr:y>0.8908</cdr:y>
    </cdr:from>
    <cdr:to>
      <cdr:x>0.88083</cdr:x>
      <cdr:y>0.93086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455249C-2387-4C83-86DB-372A4AE0663C}"/>
            </a:ext>
          </a:extLst>
        </cdr:cNvPr>
        <cdr:cNvSpPr txBox="1"/>
      </cdr:nvSpPr>
      <cdr:spPr>
        <a:xfrm xmlns:a="http://schemas.openxmlformats.org/drawingml/2006/main">
          <a:off x="6310086" y="5598004"/>
          <a:ext cx="1317778" cy="2517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ka-GE" sz="1200" b="1">
              <a:solidFill>
                <a:srgbClr val="93003A"/>
              </a:solidFill>
              <a:latin typeface="BPG SSP Crystal" panose="020B0503030403020204" pitchFamily="34" charset="0"/>
            </a:rPr>
            <a:t>ძალიან უბედური</a:t>
          </a:r>
          <a:endParaRPr lang="en-US" sz="1200" b="1">
            <a:solidFill>
              <a:srgbClr val="93003A"/>
            </a:solidFill>
            <a:latin typeface="BPG SSP Crystal" panose="020B0503030403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C33EF5-13FD-4C92-ABF4-8A1D01D17F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0.74512</cdr:x>
      <cdr:y>0.22876</cdr:y>
    </cdr:from>
    <cdr:to>
      <cdr:x>0.89729</cdr:x>
      <cdr:y>0.36998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F2C56A2-17D8-4CCE-8361-F52C06965E49}"/>
            </a:ext>
          </a:extLst>
        </cdr:cNvPr>
        <cdr:cNvSpPr txBox="1"/>
      </cdr:nvSpPr>
      <cdr:spPr>
        <a:xfrm xmlns:a="http://schemas.openxmlformats.org/drawingml/2006/main">
          <a:off x="6452664" y="1437580"/>
          <a:ext cx="1317778" cy="8874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ხალხის უმეტესობას </a:t>
          </a:r>
          <a:endParaRPr lang="en-US" sz="1200" b="1">
            <a:solidFill>
              <a:srgbClr val="332658"/>
            </a:solidFill>
            <a:latin typeface="BPG SSP Crystal" panose="020B0503030403020204" pitchFamily="34" charset="0"/>
          </a:endParaRPr>
        </a:p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შეგვიძლია</a:t>
          </a:r>
          <a:r>
            <a:rPr lang="en-US" sz="1200" b="1">
              <a:solidFill>
                <a:srgbClr val="332658"/>
              </a:solidFill>
              <a:latin typeface="BPG SSP Crystal" panose="020B0503030403020204" pitchFamily="34" charset="0"/>
            </a:rPr>
            <a:t>,</a:t>
          </a:r>
        </a:p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ვენდოთ</a:t>
          </a:r>
          <a:endParaRPr lang="en-US" sz="1200" b="1">
            <a:solidFill>
              <a:srgbClr val="332658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0.72153</cdr:x>
      <cdr:y>0.75606</cdr:y>
    </cdr:from>
    <cdr:to>
      <cdr:x>0.93374</cdr:x>
      <cdr:y>0.93866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455249C-2387-4C83-86DB-372A4AE0663C}"/>
            </a:ext>
          </a:extLst>
        </cdr:cNvPr>
        <cdr:cNvSpPr txBox="1"/>
      </cdr:nvSpPr>
      <cdr:spPr>
        <a:xfrm xmlns:a="http://schemas.openxmlformats.org/drawingml/2006/main">
          <a:off x="6248411" y="4751270"/>
          <a:ext cx="1837719" cy="1147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ძალიან დიდი სიფრთხილე </a:t>
          </a:r>
          <a:endParaRPr lang="en-US" sz="1200" b="1">
            <a:solidFill>
              <a:srgbClr val="6E0000"/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უნდა გამოვიჩინოთ </a:t>
          </a:r>
          <a:endParaRPr lang="en-US" sz="1200" b="1">
            <a:solidFill>
              <a:srgbClr val="6E0000"/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ხალხთან </a:t>
          </a:r>
          <a:endParaRPr lang="en-US" sz="1200" b="1">
            <a:solidFill>
              <a:srgbClr val="6E0000"/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ურთიერთობისას</a:t>
          </a:r>
          <a:endParaRPr lang="en-US" sz="1200" b="1">
            <a:solidFill>
              <a:srgbClr val="6E0000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0.00173</cdr:y>
    </cdr:from>
    <cdr:to>
      <cdr:x>1</cdr:x>
      <cdr:y>0.25303</cdr:y>
    </cdr:to>
    <cdr:sp macro="" textlink="">
      <cdr:nvSpPr>
        <cdr:cNvPr id="4" name="ტექსტური ველი 3">
          <a:extLst xmlns:a="http://schemas.openxmlformats.org/drawingml/2006/main">
            <a:ext uri="{FF2B5EF4-FFF2-40B4-BE49-F238E27FC236}">
              <a16:creationId xmlns:a16="http://schemas.microsoft.com/office/drawing/2014/main" id="{747C29B4-CB9C-4CF6-B289-6CBA659014E1}"/>
            </a:ext>
          </a:extLst>
        </cdr:cNvPr>
        <cdr:cNvSpPr txBox="1"/>
      </cdr:nvSpPr>
      <cdr:spPr>
        <a:xfrm xmlns:a="http://schemas.openxmlformats.org/drawingml/2006/main">
          <a:off x="0" y="10886"/>
          <a:ext cx="8654143" cy="1578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rtl="0"/>
          <a:r>
            <a:rPr lang="ka-GE" sz="2000" b="1" i="0" baseline="0">
              <a:effectLst/>
              <a:latin typeface="BPG SSP Crystal Caps" panose="020B0503030403020204" pitchFamily="34" charset="0"/>
              <a:ea typeface="+mn-ea"/>
              <a:cs typeface="+mn-cs"/>
            </a:rPr>
            <a:t>როგორ ფიქრობთ, ზოგადად, ადამიანს შეუძლია ენდოს </a:t>
          </a:r>
          <a:endParaRPr lang="en-US" sz="2000" b="1" i="0" baseline="0">
            <a:effectLst/>
            <a:latin typeface="BPG SSP Crystal Caps" panose="020B0503030403020204" pitchFamily="34" charset="0"/>
            <a:ea typeface="+mn-ea"/>
            <a:cs typeface="+mn-cs"/>
          </a:endParaRPr>
        </a:p>
        <a:p xmlns:a="http://schemas.openxmlformats.org/drawingml/2006/main">
          <a:pPr rtl="0"/>
          <a:r>
            <a:rPr lang="ka-GE" sz="2000" b="1" i="0" baseline="0">
              <a:effectLst/>
              <a:latin typeface="BPG SSP Crystal Caps" panose="020B0503030403020204" pitchFamily="34" charset="0"/>
              <a:ea typeface="+mn-ea"/>
              <a:cs typeface="+mn-cs"/>
            </a:rPr>
            <a:t>საქართველოში მცხოვრები ხალხის უმეტესობას, თუ, პირიქით, </a:t>
          </a:r>
          <a:endParaRPr lang="en-US" sz="2000" b="1" i="0" baseline="0">
            <a:effectLst/>
            <a:latin typeface="BPG SSP Crystal Caps" panose="020B0503030403020204" pitchFamily="34" charset="0"/>
            <a:ea typeface="+mn-ea"/>
            <a:cs typeface="+mn-cs"/>
          </a:endParaRPr>
        </a:p>
        <a:p xmlns:a="http://schemas.openxmlformats.org/drawingml/2006/main">
          <a:pPr rtl="0"/>
          <a:r>
            <a:rPr lang="ka-GE" sz="2000" b="1" i="0" baseline="0">
              <a:effectLst/>
              <a:latin typeface="BPG SSP Crystal Caps" panose="020B0503030403020204" pitchFamily="34" charset="0"/>
              <a:ea typeface="+mn-ea"/>
              <a:cs typeface="+mn-cs"/>
            </a:rPr>
            <a:t>დიდი სიფრთხილე უნდა გამოვიჩინოთ </a:t>
          </a:r>
          <a:endParaRPr lang="en-US" sz="2000" b="1" i="0" baseline="0">
            <a:effectLst/>
            <a:latin typeface="BPG SSP Crystal Caps" panose="020B0503030403020204" pitchFamily="34" charset="0"/>
            <a:ea typeface="+mn-ea"/>
            <a:cs typeface="+mn-cs"/>
          </a:endParaRPr>
        </a:p>
        <a:p xmlns:a="http://schemas.openxmlformats.org/drawingml/2006/main">
          <a:pPr rtl="0"/>
          <a:r>
            <a:rPr lang="ka-GE" sz="2000" b="1" i="0" baseline="0">
              <a:effectLst/>
              <a:latin typeface="BPG SSP Crystal Caps" panose="020B0503030403020204" pitchFamily="34" charset="0"/>
              <a:ea typeface="+mn-ea"/>
              <a:cs typeface="+mn-cs"/>
            </a:rPr>
            <a:t>ხალხთან ურთიერთობისას?</a:t>
          </a:r>
          <a:endParaRPr lang="ka-GE" sz="2000">
            <a:effectLst/>
            <a:latin typeface="BPG SSP Crystal Caps" panose="020B0503030403020204" pitchFamily="34" charset="0"/>
          </a:endParaRPr>
        </a:p>
        <a:p xmlns:a="http://schemas.openxmlformats.org/drawingml/2006/main">
          <a:pPr rtl="0"/>
          <a:r>
            <a:rPr lang="ka-GE" sz="1400" b="0" i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სიხშირე და საშუალო მაჩვენებელი 95%-იანი სანდოობის ინტერვალით. ვარიანტები ,,არ ვიცი'' </a:t>
          </a:r>
          <a:endParaRPr lang="en-US" sz="1400" b="0" i="0" baseline="0">
            <a:solidFill>
              <a:schemeClr val="bg1">
                <a:lumMod val="50000"/>
              </a:schemeClr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rtl="0"/>
          <a:r>
            <a:rPr lang="ka-GE" sz="1400" b="0" i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და ,,უარი პასუხზე" დიაგრამაზე დატანილი არაა</a:t>
          </a:r>
          <a:endParaRPr lang="ka-GE" sz="1400">
            <a:solidFill>
              <a:schemeClr val="bg1">
                <a:lumMod val="50000"/>
              </a:schemeClr>
            </a:solidFill>
            <a:effectLst/>
            <a:latin typeface="BPG SSP Crystal" panose="020B0503030403020204" pitchFamily="34" charset="0"/>
          </a:endParaRPr>
        </a:p>
        <a:p xmlns:a="http://schemas.openxmlformats.org/drawingml/2006/main">
          <a:endParaRPr lang="ka-GE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B89780-045B-44B9-8127-C2B80813A3E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0.81677</cdr:x>
      <cdr:y>0.14979</cdr:y>
    </cdr:from>
    <cdr:to>
      <cdr:x>0.96894</cdr:x>
      <cdr:y>0.29101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F2C56A2-17D8-4CCE-8361-F52C06965E49}"/>
            </a:ext>
          </a:extLst>
        </cdr:cNvPr>
        <cdr:cNvSpPr txBox="1"/>
      </cdr:nvSpPr>
      <cdr:spPr>
        <a:xfrm xmlns:a="http://schemas.openxmlformats.org/drawingml/2006/main">
          <a:off x="7073151" y="941294"/>
          <a:ext cx="1317778" cy="887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ადამიანები თავად </a:t>
          </a:r>
          <a:endParaRPr lang="en-US" sz="1200" b="1">
            <a:solidFill>
              <a:srgbClr val="332658"/>
            </a:solidFill>
            <a:latin typeface="BPG SSP Crystal" panose="020B0503030403020204" pitchFamily="34" charset="0"/>
          </a:endParaRPr>
        </a:p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განაგებენ საკუთარ </a:t>
          </a:r>
          <a:endParaRPr lang="en-US" sz="1200" b="1">
            <a:solidFill>
              <a:srgbClr val="332658"/>
            </a:solidFill>
            <a:latin typeface="BPG SSP Crystal" panose="020B0503030403020204" pitchFamily="34" charset="0"/>
          </a:endParaRPr>
        </a:p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ბედს</a:t>
          </a:r>
          <a:endParaRPr lang="en-US" sz="1200" b="1">
            <a:solidFill>
              <a:srgbClr val="332658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0.78261</cdr:x>
      <cdr:y>0.8174</cdr:y>
    </cdr:from>
    <cdr:to>
      <cdr:x>0.99482</cdr:x>
      <cdr:y>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455249C-2387-4C83-86DB-372A4AE0663C}"/>
            </a:ext>
          </a:extLst>
        </cdr:cNvPr>
        <cdr:cNvSpPr txBox="1"/>
      </cdr:nvSpPr>
      <cdr:spPr>
        <a:xfrm xmlns:a="http://schemas.openxmlformats.org/drawingml/2006/main">
          <a:off x="6777318" y="5136776"/>
          <a:ext cx="1837764" cy="11474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ცხოვრებაში ყველაფერი </a:t>
          </a:r>
          <a:endParaRPr lang="en-US" sz="1200" b="1">
            <a:solidFill>
              <a:srgbClr val="6E0000"/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ბედისწერას </a:t>
          </a:r>
          <a:endParaRPr lang="en-US" sz="1200" b="1">
            <a:solidFill>
              <a:srgbClr val="6E0000"/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ემორჩილება</a:t>
          </a:r>
          <a:endParaRPr lang="en-US" sz="1200" b="1">
            <a:solidFill>
              <a:srgbClr val="6E0000"/>
            </a:solidFill>
            <a:latin typeface="BPG SSP Crystal" panose="020B0503030403020204" pitchFamily="34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73523" cy="63067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48E228-28FC-4767-88ED-E9179D699D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0.02269</cdr:x>
      <cdr:y>0.25221</cdr:y>
    </cdr:from>
    <cdr:to>
      <cdr:x>0.31149</cdr:x>
      <cdr:y>0.25825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 flipV="1">
          <a:off x="196468" y="1584960"/>
          <a:ext cx="2501011" cy="37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0.34679</cdr:x>
      <cdr:y>0</cdr:y>
    </cdr:from>
    <cdr:to>
      <cdr:x>0.68944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0.56211</cdr:x>
      <cdr:y>0</cdr:y>
    </cdr:from>
    <cdr:to>
      <cdr:x>1</cdr:x>
      <cdr:y>1</cdr:y>
    </cdr:to>
    <cdr:graphicFrame macro="">
      <cdr:nvGraphicFramePr>
        <cdr:cNvPr id="9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C51837A7-069B-4759-BAA2-49D9031FA04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73523" cy="63067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811917-8AF9-4F38-82C1-96CF46718A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0.23688</cdr:y>
    </cdr:from>
    <cdr:to>
      <cdr:x>0.89545</cdr:x>
      <cdr:y>0.97432</cdr:y>
    </cdr:to>
    <cdr:graphicFrame macro="">
      <cdr:nvGraphicFramePr>
        <cdr:cNvPr id="2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id="{307E67D0-72CC-4AA2-9B50-BD008553286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0.003</cdr:y>
    </cdr:from>
    <cdr:to>
      <cdr:x>1</cdr:x>
      <cdr:y>0.14873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807C2AF5-EC21-450B-9019-3B2723E4E4DE}"/>
            </a:ext>
          </a:extLst>
        </cdr:cNvPr>
        <cdr:cNvSpPr txBox="1"/>
      </cdr:nvSpPr>
      <cdr:spPr>
        <a:xfrm xmlns:a="http://schemas.openxmlformats.org/drawingml/2006/main">
          <a:off x="0" y="18814"/>
          <a:ext cx="8654815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800" b="1" i="0" kern="1200" spc="0" baseline="0">
              <a:solidFill>
                <a:srgbClr val="000000"/>
              </a:solidFill>
              <a:effectLst/>
              <a:latin typeface="BPG SSP Crystal Caps" panose="020B0503030403020204" pitchFamily="34" charset="0"/>
            </a:rPr>
            <a:t>მოუწონებდით თუ არა თქვენი ეროვნების წარმომადგენელს...</a:t>
          </a:r>
          <a:endParaRPr lang="en-US" sz="1800">
            <a:effectLst/>
          </a:endParaRP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,,კავკასიის ბარომეტრის'' 2019 წლის ტალღა. ვარიანტები ,,არ ვიცი'' და ,,უარი პასუხზე" დიაგრამაზე დატანილი არაა. </a:t>
          </a: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რესპონდენტებს ჰკითხეს, მოუწონებდნენ თუ არა საკუთარი ეროვნების წარმომადგენელ </a:t>
          </a:r>
          <a:r>
            <a:rPr lang="ka-GE" sz="1200" b="1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 Caps" panose="020B0503030403020204" pitchFamily="34" charset="0"/>
            </a:rPr>
            <a:t>ქალს</a:t>
          </a: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 </a:t>
          </a: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სხვა ჯგუფის წარმომადგენელთან დაქორწინებას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73523" cy="63067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13AD8B-61D1-4C4C-994F-F1BFC386B3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0.1127</cdr:y>
    </cdr:from>
    <cdr:to>
      <cdr:x>0.43478</cdr:x>
      <cdr:y>0.92054</cdr:y>
    </cdr:to>
    <cdr:graphicFrame macro="">
      <cdr:nvGraphicFramePr>
        <cdr:cNvPr id="2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44CA2228-BA40-4479-A70D-C7C3B148F6C9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0.95052</cdr:y>
    </cdr:from>
    <cdr:to>
      <cdr:x>0.9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9F7A37EE-A170-4BBE-BF0C-970CAB65AD1C}"/>
            </a:ext>
          </a:extLst>
        </cdr:cNvPr>
        <cdr:cNvSpPr txBox="1"/>
      </cdr:nvSpPr>
      <cdr:spPr>
        <a:xfrm xmlns:a="http://schemas.openxmlformats.org/drawingml/2006/main">
          <a:off x="0" y="5964295"/>
          <a:ext cx="7789334" cy="3104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>
              <a:latin typeface="BPG SSP Crystal" panose="020B0503030403020204" pitchFamily="34" charset="0"/>
            </a:rPr>
            <a:t>*</a:t>
          </a:r>
          <a:r>
            <a:rPr lang="ka-GE" sz="800">
              <a:latin typeface="BPG SSP Crystal" panose="020B0503030403020204" pitchFamily="34" charset="0"/>
            </a:rPr>
            <a:t>კითხვები ინდოელებთან</a:t>
          </a:r>
          <a:r>
            <a:rPr lang="en-US" sz="800">
              <a:latin typeface="BPG SSP Crystal" panose="020B0503030403020204" pitchFamily="34" charset="0"/>
            </a:rPr>
            <a:t>, </a:t>
          </a:r>
          <a:r>
            <a:rPr lang="ka-GE" sz="800">
              <a:latin typeface="BPG SSP Crystal" panose="020B0503030403020204" pitchFamily="34" charset="0"/>
            </a:rPr>
            <a:t>ირანელებთან და უკრაინელებთან  ურთიერთობაზე პირველად 2010 წელს დაისვა, საქართველოში მცხოვრებ სომხებთან და აზერბაიჯანელებთან </a:t>
          </a:r>
        </a:p>
        <a:p xmlns:a="http://schemas.openxmlformats.org/drawingml/2006/main">
          <a:r>
            <a:rPr lang="ka-GE" sz="800">
              <a:latin typeface="BPG SSP Crystal" panose="020B0503030403020204" pitchFamily="34" charset="0"/>
            </a:rPr>
            <a:t>დაკავშირებით - 2011 წელს,</a:t>
          </a:r>
          <a:r>
            <a:rPr lang="ka-GE" sz="800" baseline="0">
              <a:latin typeface="BPG SSP Crystal" panose="020B0503030403020204" pitchFamily="34" charset="0"/>
            </a:rPr>
            <a:t> </a:t>
          </a:r>
          <a:r>
            <a:rPr lang="ka-GE" sz="800">
              <a:latin typeface="BPG SSP Crystal" panose="020B0503030403020204" pitchFamily="34" charset="0"/>
            </a:rPr>
            <a:t> ხოლო არაბებთან - 2017 წელს.</a:t>
          </a:r>
          <a:endParaRPr lang="en-US" sz="800">
            <a:latin typeface="BPG SSP Crystal" panose="020B0503030403020204" pitchFamily="34" charset="0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73523" cy="63067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341282-3F8A-4FC0-8D43-5569E58AC03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0.21739</cdr:y>
    </cdr:from>
    <cdr:to>
      <cdr:x>0.65761</cdr:x>
      <cdr:y>0.95952</cdr:y>
    </cdr:to>
    <cdr:graphicFrame macro="">
      <cdr:nvGraphicFramePr>
        <cdr:cNvPr id="2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id="{E799BA6D-27A1-4E3E-8DAD-9FB6E5D5E2C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0.95052</cdr:y>
    </cdr:from>
    <cdr:to>
      <cdr:x>0.9</cdr:x>
      <cdr:y>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D6D9D64C-BE4D-4E45-8310-CB34445DA851}"/>
            </a:ext>
          </a:extLst>
        </cdr:cNvPr>
        <cdr:cNvSpPr txBox="1"/>
      </cdr:nvSpPr>
      <cdr:spPr>
        <a:xfrm xmlns:a="http://schemas.openxmlformats.org/drawingml/2006/main">
          <a:off x="0" y="5964296"/>
          <a:ext cx="7789334" cy="3104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BPG SSP Crystal" panose="020B0503030403020204" pitchFamily="34" charset="0"/>
              <a:ea typeface="+mn-ea"/>
              <a:cs typeface="+mn-cs"/>
            </a:rPr>
            <a:t>*</a:t>
          </a:r>
          <a:r>
            <a:rPr kumimoji="0" lang="ka-GE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BPG SSP Crystal" panose="020B0503030403020204" pitchFamily="34" charset="0"/>
              <a:ea typeface="+mn-ea"/>
              <a:cs typeface="+mn-cs"/>
            </a:rPr>
            <a:t>კითხვები ინდოელებთან</a:t>
          </a:r>
          <a:r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BPG SSP Crystal" panose="020B0503030403020204" pitchFamily="34" charset="0"/>
              <a:ea typeface="+mn-ea"/>
              <a:cs typeface="+mn-cs"/>
            </a:rPr>
            <a:t>, </a:t>
          </a:r>
          <a:r>
            <a:rPr kumimoji="0" lang="ka-GE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BPG SSP Crystal" panose="020B0503030403020204" pitchFamily="34" charset="0"/>
              <a:ea typeface="+mn-ea"/>
              <a:cs typeface="+mn-cs"/>
            </a:rPr>
            <a:t>ირანელებთან და უკრაინელებთან  ურთიერთობაზე პირველად 2010 წელს დაისვა, საქართველოში მცხოვრებ სომხებთან და აზერბაიჯანელებთან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a-GE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BPG SSP Crystal" panose="020B0503030403020204" pitchFamily="34" charset="0"/>
              <a:ea typeface="+mn-ea"/>
              <a:cs typeface="+mn-cs"/>
            </a:rPr>
            <a:t>დაკავშირებით - 2011 წელს,  ხოლო არაბებთან - 2017 წელს.</a:t>
          </a:r>
          <a:endParaRPr kumimoji="0" lang="en-US" sz="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BPG SSP Crystal" panose="020B0503030403020204" pitchFamily="34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2.34188E-17</cdr:x>
      <cdr:y>0.0081</cdr:y>
    </cdr:from>
    <cdr:to>
      <cdr:x>1</cdr:x>
      <cdr:y>0.15383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C0946F1-A889-49AE-BDEF-1FB616BE8602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8654815" cy="9144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800" b="1" i="0" kern="1200" spc="0" baseline="0">
              <a:solidFill>
                <a:srgbClr val="000000"/>
              </a:solidFill>
              <a:effectLst/>
              <a:latin typeface="BPG SSP Crystal Caps" panose="020B0503030403020204" pitchFamily="34" charset="0"/>
            </a:rPr>
            <a:t>მოუწონებდით თუ არა თქვენი ეროვნების წარმომადგენელს...</a:t>
          </a:r>
          <a:endParaRPr lang="en-US" sz="1800">
            <a:effectLst/>
          </a:endParaRP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,,კავკასიის ბარომეტრის'' 2019 წლის ტალღა. ვარიანტები ,,არ ვიცი'' და ,,უარი პასუხზე" დიაგრამაზე დატანილი არაა. </a:t>
          </a: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რესპონდენტებს ჰკითხეს, მოუწონებდნენ თუ არა საკუთარი ეროვნების წარმომადგენელ </a:t>
          </a:r>
          <a:r>
            <a:rPr lang="ka-GE" sz="1200" b="1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 Caps" panose="020B0503030403020204" pitchFamily="34" charset="0"/>
            </a:rPr>
            <a:t>ქალს</a:t>
          </a: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 </a:t>
          </a: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სხვა ჯგუფის წარმომადგენელთან დაქორწინებას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CB908-3ABD-4E4A-8EBD-F46FA4A34ED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0.58903</cdr:x>
      <cdr:y>0</cdr:y>
    </cdr:from>
    <cdr:to>
      <cdr:x>1</cdr:x>
      <cdr:y>1</cdr:y>
    </cdr:to>
    <cdr:graphicFrame macro="">
      <cdr:nvGraphicFramePr>
        <cdr:cNvPr id="2" name="Chart 1">
          <a:extLst xmlns:a="http://schemas.openxmlformats.org/drawingml/2006/main">
            <a:ext uri="{FF2B5EF4-FFF2-40B4-BE49-F238E27FC236}">
              <a16:creationId xmlns:a16="http://schemas.microsoft.com/office/drawing/2014/main" id="{22CF16F5-EC0A-4FEB-8798-C2342D007D0B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0.25241</cdr:x>
      <cdr:y>0.1394</cdr:y>
    </cdr:from>
    <cdr:to>
      <cdr:x>0.58583</cdr:x>
      <cdr:y>0.18307</cdr:y>
    </cdr:to>
    <cdr:sp macro="" textlink="">
      <cdr:nvSpPr>
        <cdr:cNvPr id="7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6F0B8FE8-BBE9-48E6-9E31-A116FBFFDA9B}"/>
            </a:ext>
          </a:extLst>
        </cdr:cNvPr>
        <cdr:cNvSpPr txBox="1"/>
      </cdr:nvSpPr>
      <cdr:spPr>
        <a:xfrm xmlns:a="http://schemas.openxmlformats.org/drawingml/2006/main">
          <a:off x="2184400" y="875553"/>
          <a:ext cx="2885452" cy="274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latin typeface="BPG SSP Crystal" panose="020B0503030403020204" pitchFamily="34" charset="0"/>
            </a:rPr>
            <a:t>2017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0.06217</cdr:x>
      <cdr:y>0.1394</cdr:y>
    </cdr:from>
    <cdr:to>
      <cdr:x>0.87346</cdr:x>
      <cdr:y>0.18307</cdr:y>
    </cdr:to>
    <cdr:sp macro="" textlink="">
      <cdr:nvSpPr>
        <cdr:cNvPr id="6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3CC17B75-4D20-4766-81DE-22C278D2D22D}"/>
            </a:ext>
          </a:extLst>
        </cdr:cNvPr>
        <cdr:cNvSpPr txBox="1"/>
      </cdr:nvSpPr>
      <cdr:spPr>
        <a:xfrm xmlns:a="http://schemas.openxmlformats.org/drawingml/2006/main">
          <a:off x="221130" y="875553"/>
          <a:ext cx="2885452" cy="274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>
              <a:solidFill>
                <a:srgbClr val="002060"/>
              </a:solidFill>
              <a:latin typeface="BPG SSP Crystal" panose="020B0503030403020204" pitchFamily="34" charset="0"/>
            </a:rPr>
            <a:t>2019</a:t>
          </a: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ECA207-9C9A-4342-A953-589909E10BE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</cdr:x>
      <cdr:y>0.30329</cdr:y>
    </cdr:from>
    <cdr:to>
      <cdr:x>0.20209</cdr:x>
      <cdr:y>0.80904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082BC55C-0B93-4A47-AFA1-7AD1D864F0B1}"/>
            </a:ext>
          </a:extLst>
        </cdr:cNvPr>
        <cdr:cNvCxnSpPr/>
      </cdr:nvCxnSpPr>
      <cdr:spPr>
        <a:xfrm xmlns:a="http://schemas.openxmlformats.org/drawingml/2006/main">
          <a:off x="1730829" y="1905000"/>
          <a:ext cx="18093" cy="3176621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0.39832</cdr:x>
      <cdr:y>0.29578</cdr:y>
    </cdr:from>
    <cdr:to>
      <cdr:x>0.40041</cdr:x>
      <cdr:y>0.80153</cdr:y>
    </cdr:to>
    <cdr:cxnSp macro="">
      <cdr:nvCxnSpPr>
        <cdr:cNvPr id="9" name="Straight Connector 8">
          <a:extLst xmlns:a="http://schemas.openxmlformats.org/drawingml/2006/main">
            <a:ext uri="{FF2B5EF4-FFF2-40B4-BE49-F238E27FC236}">
              <a16:creationId xmlns:a16="http://schemas.microsoft.com/office/drawing/2014/main" id="{271ABE56-1607-4026-8A4B-85810130892A}"/>
            </a:ext>
          </a:extLst>
        </cdr:cNvPr>
        <cdr:cNvCxnSpPr/>
      </cdr:nvCxnSpPr>
      <cdr:spPr>
        <a:xfrm xmlns:a="http://schemas.openxmlformats.org/drawingml/2006/main">
          <a:off x="3447143" y="1857828"/>
          <a:ext cx="18093" cy="3176621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0.587</cdr:x>
      <cdr:y>0.29752</cdr:y>
    </cdr:from>
    <cdr:to>
      <cdr:x>0.58909</cdr:x>
      <cdr:y>0.80326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271ABE56-1607-4026-8A4B-85810130892A}"/>
            </a:ext>
          </a:extLst>
        </cdr:cNvPr>
        <cdr:cNvCxnSpPr/>
      </cdr:nvCxnSpPr>
      <cdr:spPr>
        <a:xfrm xmlns:a="http://schemas.openxmlformats.org/drawingml/2006/main">
          <a:off x="5080000" y="1868714"/>
          <a:ext cx="18093" cy="3176621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0.80084</cdr:x>
      <cdr:y>0.29925</cdr:y>
    </cdr:from>
    <cdr:to>
      <cdr:x>0.80293</cdr:x>
      <cdr:y>0.805</cdr:y>
    </cdr:to>
    <cdr:cxnSp macro="">
      <cdr:nvCxnSpPr>
        <cdr:cNvPr id="11" name="Straight Connector 10">
          <a:extLst xmlns:a="http://schemas.openxmlformats.org/drawingml/2006/main">
            <a:ext uri="{FF2B5EF4-FFF2-40B4-BE49-F238E27FC236}">
              <a16:creationId xmlns:a16="http://schemas.microsoft.com/office/drawing/2014/main" id="{271ABE56-1607-4026-8A4B-85810130892A}"/>
            </a:ext>
          </a:extLst>
        </cdr:cNvPr>
        <cdr:cNvCxnSpPr/>
      </cdr:nvCxnSpPr>
      <cdr:spPr>
        <a:xfrm xmlns:a="http://schemas.openxmlformats.org/drawingml/2006/main">
          <a:off x="6930571" y="1879600"/>
          <a:ext cx="18093" cy="3176621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</cdr:x>
      <cdr:y>0.00867</cdr:y>
    </cdr:from>
    <cdr:to>
      <cdr:x>0.98616</cdr:x>
      <cdr:y>0.17158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1ECBA8F-A71A-4A99-B954-4DD98143DAAA}"/>
            </a:ext>
          </a:extLst>
        </cdr:cNvPr>
        <cdr:cNvSpPr txBox="1"/>
      </cdr:nvSpPr>
      <cdr:spPr>
        <a:xfrm xmlns:a="http://schemas.openxmlformats.org/drawingml/2006/main">
          <a:off x="0" y="54428"/>
          <a:ext cx="8534401" cy="10232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2200" baseline="0">
              <a:solidFill>
                <a:sysClr val="windowText" lastClr="000000"/>
              </a:solidFill>
              <a:latin typeface="BPG SSP Crystal Caps" panose="020B0503030403020204" pitchFamily="34" charset="0"/>
            </a:rPr>
            <a:t>თქვენი აზრით, რომელი ასაკიდანაა მისაღები ქალისთვის</a:t>
          </a:r>
          <a:r>
            <a:rPr lang="en-US" sz="2200" baseline="0">
              <a:solidFill>
                <a:sysClr val="windowText" lastClr="000000"/>
              </a:solidFill>
              <a:latin typeface="BPG SSP Crystal Caps" panose="020B0503030403020204" pitchFamily="34" charset="0"/>
            </a:rPr>
            <a:t>...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რესპონდენტების მიერ დასახელებული საშუალო ასაკი 20-22 წლის ფარგლებში მერყეობს. 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დიაგრამაზე წარმოდგენილია იმ რესპონდენტთა პროპორცია, რომლებმაც დაასახელეს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,,არცერთ ასაკშია მისაღები,'' ,,არ ვიცი'' და ,,უარი პასუხზე"</a:t>
          </a:r>
          <a:endParaRPr lang="en-US" sz="1400" b="0">
            <a:solidFill>
              <a:schemeClr val="tx1">
                <a:lumMod val="75000"/>
                <a:lumOff val="25000"/>
              </a:schemeClr>
            </a:solidFill>
            <a:latin typeface="BPG SSP Crystal" panose="020B0503030403020204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57F789-7DB7-4B08-AE91-29ACAD093AD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0.00252</cdr:x>
      <cdr:y>0.01733</cdr:y>
    </cdr:from>
    <cdr:to>
      <cdr:x>1</cdr:x>
      <cdr:y>0.25997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E551DB95-487C-4838-A029-D2A1D2F41B3F}"/>
            </a:ext>
          </a:extLst>
        </cdr:cNvPr>
        <cdr:cNvSpPr txBox="1"/>
      </cdr:nvSpPr>
      <cdr:spPr>
        <a:xfrm xmlns:a="http://schemas.openxmlformats.org/drawingml/2006/main">
          <a:off x="21772" y="108857"/>
          <a:ext cx="8632371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2200" b="1" i="0" kern="1200" spc="0" baseline="0">
              <a:solidFill>
                <a:srgbClr val="000000"/>
              </a:solidFill>
              <a:effectLst/>
              <a:latin typeface="BPG SSP Crystal Caps" panose="020B0503030403020204" pitchFamily="34" charset="0"/>
            </a:rPr>
            <a:t>საქართველოში მცხოვრებ ოჯახებზე თუ ვისაუბრებთ, </a:t>
          </a:r>
          <a:endParaRPr lang="en-US" sz="2200" b="1" i="0" kern="1200" spc="0" baseline="0">
            <a:solidFill>
              <a:srgbClr val="000000"/>
            </a:solidFill>
            <a:effectLst/>
            <a:latin typeface="BPG SSP Crystal Caps" panose="020B0503030403020204" pitchFamily="34" charset="0"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2200" b="1" i="0" kern="1200" spc="0" baseline="0">
              <a:solidFill>
                <a:srgbClr val="000000"/>
              </a:solidFill>
              <a:effectLst/>
              <a:latin typeface="BPG SSP Crystal Caps" panose="020B0503030403020204" pitchFamily="34" charset="0"/>
            </a:rPr>
            <a:t>თქვენი აზრით, რამდენია შვილების იდეალური </a:t>
          </a:r>
          <a:endParaRPr lang="en-US" sz="2200" b="1" i="0" kern="1200" spc="0" baseline="0">
            <a:solidFill>
              <a:srgbClr val="000000"/>
            </a:solidFill>
            <a:effectLst/>
            <a:latin typeface="BPG SSP Crystal Caps" panose="020B0503030403020204" pitchFamily="34" charset="0"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2200" b="1" i="0" kern="1200" spc="0" baseline="0">
              <a:solidFill>
                <a:srgbClr val="000000"/>
              </a:solidFill>
              <a:effectLst/>
              <a:latin typeface="BPG SSP Crystal Caps" panose="020B0503030403020204" pitchFamily="34" charset="0"/>
            </a:rPr>
            <a:t>რაოდენობა ოჯახში? </a:t>
          </a:r>
          <a:endParaRPr lang="en-US" sz="2200">
            <a:effectLst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საშუალო მნიშვნელობა</a:t>
          </a:r>
          <a:r>
            <a:rPr lang="en-US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 95%-</a:t>
          </a: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იანი სანდოობის ინტერვალებით. პასუხების ,,არ ვიცი'' და ,,უარი'' პროპორცია </a:t>
          </a:r>
          <a:endParaRPr lang="en-US" sz="1400" b="0" i="0" kern="1200" spc="0" baseline="0">
            <a:solidFill>
              <a:srgbClr val="404040"/>
            </a:solidFill>
            <a:effectLst/>
            <a:latin typeface="BPG SSP Crystal" panose="020B0503030403020204" pitchFamily="34" charset="0"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თითოეულ წელს 1</a:t>
          </a:r>
          <a:r>
            <a:rPr lang="en-US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,</a:t>
          </a: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5%-ს არ აღემატება.  2015 წლიდან პასუხებს დაემატა ,,რამდენსაც ღმერთი მოგვცემს''</a:t>
          </a:r>
          <a:endParaRPr lang="en-US" sz="1400">
            <a:effectLst/>
          </a:endParaRPr>
        </a:p>
        <a:p xmlns:a="http://schemas.openxmlformats.org/drawingml/2006/main">
          <a:endParaRPr lang="ka-GE" sz="1100"/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7B919C-15DE-4A23-816B-1CC011469E6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0.64403</cdr:x>
      <cdr:y>0</cdr:y>
    </cdr:from>
    <cdr:to>
      <cdr:x>1</cdr:x>
      <cdr:y>1</cdr:y>
    </cdr:to>
    <cdr:graphicFrame macro="">
      <cdr:nvGraphicFramePr>
        <cdr:cNvPr id="2" name="Chart 2">
          <a:extLst xmlns:a="http://schemas.openxmlformats.org/drawingml/2006/main">
            <a:ext uri="{FF2B5EF4-FFF2-40B4-BE49-F238E27FC236}">
              <a16:creationId xmlns:a16="http://schemas.microsoft.com/office/drawing/2014/main" id="{D222B5CB-1F06-4C2C-88A1-CDE93DB0CE7E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3" name="Chart 2">
          <a:extLst xmlns:a="http://schemas.openxmlformats.org/drawingml/2006/main">
            <a:ext uri="{FF2B5EF4-FFF2-40B4-BE49-F238E27FC236}">
              <a16:creationId xmlns:a16="http://schemas.microsoft.com/office/drawing/2014/main" id="{EF9AC9CA-2084-4CDB-9C1C-D9B007F824C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0.55597</cdr:x>
      <cdr:y>0</cdr:y>
    </cdr:from>
    <cdr:to>
      <cdr:x>1</cdr:x>
      <cdr:y>1</cdr:y>
    </cdr:to>
    <cdr:graphicFrame macro="">
      <cdr:nvGraphicFramePr>
        <cdr:cNvPr id="4" name="Chart 1">
          <a:extLst xmlns:a="http://schemas.openxmlformats.org/drawingml/2006/main">
            <a:ext uri="{FF2B5EF4-FFF2-40B4-BE49-F238E27FC236}">
              <a16:creationId xmlns:a16="http://schemas.microsoft.com/office/drawing/2014/main" id="{33965005-3DF9-4D97-9915-910731FAC1D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0.16943</cdr:x>
      <cdr:y>0.19205</cdr:y>
    </cdr:from>
    <cdr:to>
      <cdr:x>0.50285</cdr:x>
      <cdr:y>0.23572</cdr:y>
    </cdr:to>
    <cdr:sp macro="" textlink="">
      <cdr:nvSpPr>
        <cdr:cNvPr id="8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3AC4F0E0-5A09-4867-AD0D-C10D74472D1F}"/>
            </a:ext>
          </a:extLst>
        </cdr:cNvPr>
        <cdr:cNvSpPr txBox="1"/>
      </cdr:nvSpPr>
      <cdr:spPr>
        <a:xfrm xmlns:a="http://schemas.openxmlformats.org/drawingml/2006/main">
          <a:off x="1466605" y="1205863"/>
          <a:ext cx="2886190" cy="2741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800" b="1">
              <a:solidFill>
                <a:srgbClr val="110133"/>
              </a:solidFill>
              <a:latin typeface="BPG SSP Crystal" panose="020B0503030403020204" pitchFamily="34" charset="0"/>
            </a:rPr>
            <a:t>201</a:t>
          </a:r>
          <a:r>
            <a:rPr lang="en-US" sz="1800" b="1">
              <a:solidFill>
                <a:srgbClr val="110133"/>
              </a:solidFill>
              <a:latin typeface="BPG SSP Crystal" panose="020B0503030403020204" pitchFamily="34" charset="0"/>
            </a:rPr>
            <a:t>0</a:t>
          </a:r>
          <a:endParaRPr lang="ka-GE" sz="1800" b="1">
            <a:solidFill>
              <a:srgbClr val="110133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0.54326</cdr:x>
      <cdr:y>0.20978</cdr:y>
    </cdr:from>
    <cdr:to>
      <cdr:x>0.54577</cdr:x>
      <cdr:y>0.97087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3752380F-FA3E-407D-8BC7-C94520B3D6B6}"/>
            </a:ext>
          </a:extLst>
        </cdr:cNvPr>
        <cdr:cNvCxnSpPr/>
      </cdr:nvCxnSpPr>
      <cdr:spPr>
        <a:xfrm xmlns:a="http://schemas.openxmlformats.org/drawingml/2006/main">
          <a:off x="4702630" y="1317171"/>
          <a:ext cx="21770" cy="4778829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0.05515</cdr:x>
      <cdr:y>0.1913</cdr:y>
    </cdr:from>
    <cdr:to>
      <cdr:x>0.80605</cdr:x>
      <cdr:y>0.23497</cdr:y>
    </cdr:to>
    <cdr:sp macro="" textlink="">
      <cdr:nvSpPr>
        <cdr:cNvPr id="6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01A4CE05-88BB-41A6-B01B-A7ADEBC80E21}"/>
            </a:ext>
          </a:extLst>
        </cdr:cNvPr>
        <cdr:cNvSpPr txBox="1"/>
      </cdr:nvSpPr>
      <cdr:spPr>
        <a:xfrm xmlns:a="http://schemas.openxmlformats.org/drawingml/2006/main">
          <a:off x="211962" y="1201147"/>
          <a:ext cx="2886209" cy="2741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800" b="1" baseline="0">
              <a:solidFill>
                <a:srgbClr val="332658"/>
              </a:solidFill>
              <a:latin typeface="BPG SSP Crystal" panose="020B0503030403020204" pitchFamily="34" charset="0"/>
            </a:rPr>
            <a:t>2019</a:t>
          </a:r>
          <a:endParaRPr lang="ka-GE" sz="1800" b="1">
            <a:solidFill>
              <a:srgbClr val="332658"/>
            </a:solidFill>
            <a:latin typeface="BPG SSP Crystal" panose="020B0503030403020204" pitchFamily="34" charset="0"/>
          </a:endParaRP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C20C48-5B11-42F0-86D4-6D09ECF3227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0.58903</cdr:x>
      <cdr:y>0</cdr:y>
    </cdr:from>
    <cdr:to>
      <cdr:x>1</cdr:x>
      <cdr:y>1</cdr:y>
    </cdr:to>
    <cdr:graphicFrame macro="">
      <cdr:nvGraphicFramePr>
        <cdr:cNvPr id="2" name="Chart 1">
          <a:extLst xmlns:a="http://schemas.openxmlformats.org/drawingml/2006/main">
            <a:ext uri="{FF2B5EF4-FFF2-40B4-BE49-F238E27FC236}">
              <a16:creationId xmlns:a16="http://schemas.microsoft.com/office/drawing/2014/main" id="{22CF16F5-EC0A-4FEB-8798-C2342D007D0B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0.19237</cdr:x>
      <cdr:y>0.1394</cdr:y>
    </cdr:from>
    <cdr:to>
      <cdr:x>0.52579</cdr:x>
      <cdr:y>0.18307</cdr:y>
    </cdr:to>
    <cdr:sp macro="" textlink="">
      <cdr:nvSpPr>
        <cdr:cNvPr id="7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6F0B8FE8-BBE9-48E6-9E31-A116FBFFDA9B}"/>
            </a:ext>
          </a:extLst>
        </cdr:cNvPr>
        <cdr:cNvSpPr txBox="1"/>
      </cdr:nvSpPr>
      <cdr:spPr>
        <a:xfrm xmlns:a="http://schemas.openxmlformats.org/drawingml/2006/main">
          <a:off x="1665894" y="876026"/>
          <a:ext cx="2887386" cy="274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600" b="1">
              <a:solidFill>
                <a:srgbClr val="9D2503"/>
              </a:solidFill>
              <a:latin typeface="BPG SSP Crystal" panose="020B0503030403020204" pitchFamily="34" charset="0"/>
            </a:rPr>
            <a:t>2010</a:t>
          </a:r>
        </a:p>
      </cdr:txBody>
    </cdr:sp>
  </cdr:relSizeAnchor>
  <cdr:relSizeAnchor xmlns:cdr="http://schemas.openxmlformats.org/drawingml/2006/chartDrawing">
    <cdr:from>
      <cdr:x>0.5069</cdr:x>
      <cdr:y>0.2135</cdr:y>
    </cdr:from>
    <cdr:to>
      <cdr:x>0.50941</cdr:x>
      <cdr:y>0.97421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90A6FCD5-E4B0-4B9C-A9C1-1003CB0FA2B7}"/>
            </a:ext>
          </a:extLst>
        </cdr:cNvPr>
        <cdr:cNvCxnSpPr/>
      </cdr:nvCxnSpPr>
      <cdr:spPr>
        <a:xfrm xmlns:a="http://schemas.openxmlformats.org/drawingml/2006/main">
          <a:off x="4389718" y="1341717"/>
          <a:ext cx="21722" cy="4780450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0.06217</cdr:x>
      <cdr:y>0.1394</cdr:y>
    </cdr:from>
    <cdr:to>
      <cdr:x>0.87346</cdr:x>
      <cdr:y>0.18307</cdr:y>
    </cdr:to>
    <cdr:sp macro="" textlink="">
      <cdr:nvSpPr>
        <cdr:cNvPr id="6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3CC17B75-4D20-4766-81DE-22C278D2D22D}"/>
            </a:ext>
          </a:extLst>
        </cdr:cNvPr>
        <cdr:cNvSpPr txBox="1"/>
      </cdr:nvSpPr>
      <cdr:spPr>
        <a:xfrm xmlns:a="http://schemas.openxmlformats.org/drawingml/2006/main">
          <a:off x="221130" y="875553"/>
          <a:ext cx="2885452" cy="274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600" b="1">
              <a:solidFill>
                <a:srgbClr val="110133"/>
              </a:solidFill>
              <a:latin typeface="BPG SSP Crystal" panose="020B0503030403020204" pitchFamily="34" charset="0"/>
            </a:rPr>
            <a:t>2019</a:t>
          </a: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D86350-C733-404A-8A71-0C30A9532B5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0.64403</cdr:x>
      <cdr:y>0</cdr:y>
    </cdr:from>
    <cdr:to>
      <cdr:x>1</cdr:x>
      <cdr:y>1</cdr:y>
    </cdr:to>
    <cdr:graphicFrame macro="">
      <cdr:nvGraphicFramePr>
        <cdr:cNvPr id="2" name="Chart 2">
          <a:extLst xmlns:a="http://schemas.openxmlformats.org/drawingml/2006/main">
            <a:ext uri="{FF2B5EF4-FFF2-40B4-BE49-F238E27FC236}">
              <a16:creationId xmlns:a16="http://schemas.microsoft.com/office/drawing/2014/main" id="{D222B5CB-1F06-4C2C-88A1-CDE93DB0CE7E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3" name="Chart 2">
          <a:extLst xmlns:a="http://schemas.openxmlformats.org/drawingml/2006/main">
            <a:ext uri="{FF2B5EF4-FFF2-40B4-BE49-F238E27FC236}">
              <a16:creationId xmlns:a16="http://schemas.microsoft.com/office/drawing/2014/main" id="{EF9AC9CA-2084-4CDB-9C1C-D9B007F824C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0.49068</cdr:x>
      <cdr:y>0</cdr:y>
    </cdr:from>
    <cdr:to>
      <cdr:x>0.99482</cdr:x>
      <cdr:y>1</cdr:y>
    </cdr:to>
    <cdr:graphicFrame macro="">
      <cdr:nvGraphicFramePr>
        <cdr:cNvPr id="4" name="Chart 1">
          <a:extLst xmlns:a="http://schemas.openxmlformats.org/drawingml/2006/main">
            <a:ext uri="{FF2B5EF4-FFF2-40B4-BE49-F238E27FC236}">
              <a16:creationId xmlns:a16="http://schemas.microsoft.com/office/drawing/2014/main" id="{33965005-3DF9-4D97-9915-910731FAC1D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0.07851</cdr:x>
      <cdr:y>0.14214</cdr:y>
    </cdr:from>
    <cdr:to>
      <cdr:x>0.41193</cdr:x>
      <cdr:y>0.18581</cdr:y>
    </cdr:to>
    <cdr:sp macro="" textlink="">
      <cdr:nvSpPr>
        <cdr:cNvPr id="8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3AC4F0E0-5A09-4867-AD0D-C10D74472D1F}"/>
            </a:ext>
          </a:extLst>
        </cdr:cNvPr>
        <cdr:cNvSpPr txBox="1"/>
      </cdr:nvSpPr>
      <cdr:spPr>
        <a:xfrm xmlns:a="http://schemas.openxmlformats.org/drawingml/2006/main">
          <a:off x="679880" y="893262"/>
          <a:ext cx="2887386" cy="274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>
              <a:solidFill>
                <a:srgbClr val="110133"/>
              </a:solidFill>
              <a:latin typeface="BPG SSP Crystal" panose="020B0503030403020204" pitchFamily="34" charset="0"/>
            </a:rPr>
            <a:t>არა</a:t>
          </a:r>
          <a:r>
            <a:rPr lang="ka-GE" sz="1200" b="1" baseline="0">
              <a:solidFill>
                <a:srgbClr val="110133"/>
              </a:solidFill>
              <a:latin typeface="BPG SSP Crystal" panose="020B0503030403020204" pitchFamily="34" charset="0"/>
            </a:rPr>
            <a:t>მერიტოკრატიული ღირებულებები</a:t>
          </a:r>
          <a:endParaRPr lang="ka-GE" sz="1200" b="1">
            <a:solidFill>
              <a:srgbClr val="110133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0.42592</cdr:x>
      <cdr:y>0.19604</cdr:y>
    </cdr:from>
    <cdr:to>
      <cdr:x>0.49457</cdr:x>
      <cdr:y>0.87591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F795A61E-DFBF-4F75-BB32-8E685EF54C58}"/>
            </a:ext>
          </a:extLst>
        </cdr:cNvPr>
        <cdr:cNvGrpSpPr/>
      </cdr:nvGrpSpPr>
      <cdr:grpSpPr>
        <a:xfrm xmlns:a="http://schemas.openxmlformats.org/drawingml/2006/main">
          <a:off x="3694155" y="1234602"/>
          <a:ext cx="595425" cy="4281622"/>
          <a:chOff x="3685973" y="1231338"/>
          <a:chExt cx="594107" cy="4606842"/>
        </a:xfrm>
      </cdr:grpSpPr>
      <cdr:grpSp>
        <cdr:nvGrpSpPr>
          <cdr:cNvPr id="3" name="Group 2">
            <a:extLst xmlns:a="http://schemas.openxmlformats.org/drawingml/2006/main">
              <a:ext uri="{FF2B5EF4-FFF2-40B4-BE49-F238E27FC236}">
                <a16:creationId xmlns:a16="http://schemas.microsoft.com/office/drawing/2014/main" id="{11846CB5-6DE0-42DC-898B-E3C257A6026D}"/>
              </a:ext>
            </a:extLst>
          </cdr:cNvPr>
          <cdr:cNvGrpSpPr/>
        </cdr:nvGrpSpPr>
        <cdr:grpSpPr>
          <a:xfrm xmlns:a="http://schemas.openxmlformats.org/drawingml/2006/main">
            <a:off x="3685973" y="1231338"/>
            <a:ext cx="519854" cy="433896"/>
            <a:chOff x="3458308" y="1225061"/>
            <a:chExt cx="520002" cy="433754"/>
          </a:xfrm>
        </cdr:grpSpPr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E3F1F8E-0DB9-407B-862B-ED501D56FAD3}"/>
                </a:ext>
              </a:extLst>
            </cdr:cNvPr>
            <cdr:cNvSpPr txBox="1"/>
          </cdr:nvSpPr>
          <cdr:spPr>
            <a:xfrm xmlns:a="http://schemas.openxmlformats.org/drawingml/2006/main">
              <a:off x="3575539" y="1276140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40</a:t>
              </a:r>
            </a:p>
          </cdr:txBody>
        </cdr:sp>
        <cdr:sp macro="" textlink="">
          <cdr:nvSpPr>
            <cdr:cNvPr id="5" name="Left Brace 4">
              <a:extLst xmlns:a="http://schemas.openxmlformats.org/drawingml/2006/main">
                <a:ext uri="{FF2B5EF4-FFF2-40B4-BE49-F238E27FC236}">
                  <a16:creationId xmlns:a16="http://schemas.microsoft.com/office/drawing/2014/main" id="{8D1052AE-CF6A-47E8-A7D1-89665C53D51C}"/>
                </a:ext>
              </a:extLst>
            </cdr:cNvPr>
            <cdr:cNvSpPr/>
          </cdr:nvSpPr>
          <cdr:spPr>
            <a:xfrm xmlns:a="http://schemas.openxmlformats.org/drawingml/2006/main" rot="10800000">
              <a:off x="3458308" y="1225061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9" name="Group 8">
            <a:extLst xmlns:a="http://schemas.openxmlformats.org/drawingml/2006/main">
              <a:ext uri="{FF2B5EF4-FFF2-40B4-BE49-F238E27FC236}">
                <a16:creationId xmlns:a16="http://schemas.microsoft.com/office/drawing/2014/main" id="{099766AE-5B66-4E7A-B300-0948445728DD}"/>
              </a:ext>
            </a:extLst>
          </cdr:cNvPr>
          <cdr:cNvGrpSpPr/>
        </cdr:nvGrpSpPr>
        <cdr:grpSpPr>
          <a:xfrm xmlns:a="http://schemas.openxmlformats.org/drawingml/2006/main">
            <a:off x="3701637" y="1956486"/>
            <a:ext cx="519854" cy="433896"/>
            <a:chOff x="0" y="0"/>
            <a:chExt cx="520002" cy="433754"/>
          </a:xfrm>
        </cdr:grpSpPr>
        <cdr:sp macro="" textlink="">
          <cdr:nvSpPr>
            <cdr:cNvPr id="10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51542E32-298F-47B2-83CB-60A451433750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45</a:t>
              </a:r>
            </a:p>
          </cdr:txBody>
        </cdr:sp>
        <cdr:sp macro="" textlink="">
          <cdr:nvSpPr>
            <cdr:cNvPr id="11" name="Left Brace 10">
              <a:extLst xmlns:a="http://schemas.openxmlformats.org/drawingml/2006/main">
                <a:ext uri="{FF2B5EF4-FFF2-40B4-BE49-F238E27FC236}">
                  <a16:creationId xmlns:a16="http://schemas.microsoft.com/office/drawing/2014/main" id="{E29E7D4F-0506-4B54-99C5-594CEE2D3C52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12" name="Group 11">
            <a:extLst xmlns:a="http://schemas.openxmlformats.org/drawingml/2006/main">
              <a:ext uri="{FF2B5EF4-FFF2-40B4-BE49-F238E27FC236}">
                <a16:creationId xmlns:a16="http://schemas.microsoft.com/office/drawing/2014/main" id="{72D28CED-B0AE-4A89-81FF-D55D7D14D9E6}"/>
              </a:ext>
            </a:extLst>
          </cdr:cNvPr>
          <cdr:cNvGrpSpPr/>
        </cdr:nvGrpSpPr>
        <cdr:grpSpPr>
          <a:xfrm xmlns:a="http://schemas.openxmlformats.org/drawingml/2006/main">
            <a:off x="3707435" y="2624917"/>
            <a:ext cx="519941" cy="433895"/>
            <a:chOff x="0" y="0"/>
            <a:chExt cx="520002" cy="433754"/>
          </a:xfrm>
        </cdr:grpSpPr>
        <cdr:sp macro="" textlink="">
          <cdr:nvSpPr>
            <cdr:cNvPr id="13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C23E1968-CA26-4620-BA33-D1F38535B374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45</a:t>
              </a:r>
            </a:p>
          </cdr:txBody>
        </cdr:sp>
        <cdr:sp macro="" textlink="">
          <cdr:nvSpPr>
            <cdr:cNvPr id="14" name="Left Brace 13">
              <a:extLst xmlns:a="http://schemas.openxmlformats.org/drawingml/2006/main">
                <a:ext uri="{FF2B5EF4-FFF2-40B4-BE49-F238E27FC236}">
                  <a16:creationId xmlns:a16="http://schemas.microsoft.com/office/drawing/2014/main" id="{3E11059C-DDA7-424E-86BD-5206108CED64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15" name="Group 14">
            <a:extLst xmlns:a="http://schemas.openxmlformats.org/drawingml/2006/main">
              <a:ext uri="{FF2B5EF4-FFF2-40B4-BE49-F238E27FC236}">
                <a16:creationId xmlns:a16="http://schemas.microsoft.com/office/drawing/2014/main" id="{2F54288E-1D39-4628-B395-A692132A837D}"/>
              </a:ext>
            </a:extLst>
          </cdr:cNvPr>
          <cdr:cNvGrpSpPr/>
        </cdr:nvGrpSpPr>
        <cdr:grpSpPr>
          <a:xfrm xmlns:a="http://schemas.openxmlformats.org/drawingml/2006/main">
            <a:off x="3719204" y="3346170"/>
            <a:ext cx="519855" cy="433896"/>
            <a:chOff x="0" y="0"/>
            <a:chExt cx="520002" cy="433754"/>
          </a:xfrm>
        </cdr:grpSpPr>
        <cdr:sp macro="" textlink="">
          <cdr:nvSpPr>
            <cdr:cNvPr id="16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1F9E93F3-DA21-458F-A167-86FF3BD07509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46</a:t>
              </a:r>
            </a:p>
          </cdr:txBody>
        </cdr:sp>
        <cdr:sp macro="" textlink="">
          <cdr:nvSpPr>
            <cdr:cNvPr id="17" name="Left Brace 16">
              <a:extLst xmlns:a="http://schemas.openxmlformats.org/drawingml/2006/main">
                <a:ext uri="{FF2B5EF4-FFF2-40B4-BE49-F238E27FC236}">
                  <a16:creationId xmlns:a16="http://schemas.microsoft.com/office/drawing/2014/main" id="{FC3A19E3-0E88-48B5-B851-36EC8B5CED9A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2F54288E-1D39-4628-B395-A692132A837D}"/>
              </a:ext>
            </a:extLst>
          </cdr:cNvPr>
          <cdr:cNvGrpSpPr/>
        </cdr:nvGrpSpPr>
        <cdr:grpSpPr>
          <a:xfrm xmlns:a="http://schemas.openxmlformats.org/drawingml/2006/main">
            <a:off x="3730888" y="3967681"/>
            <a:ext cx="519854" cy="433895"/>
            <a:chOff x="0" y="0"/>
            <a:chExt cx="520002" cy="433754"/>
          </a:xfrm>
        </cdr:grpSpPr>
        <cdr:sp macro="" textlink="">
          <cdr:nvSpPr>
            <cdr:cNvPr id="19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1F9E93F3-DA21-458F-A167-86FF3BD07509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36</a:t>
              </a:r>
            </a:p>
          </cdr:txBody>
        </cdr:sp>
        <cdr:sp macro="" textlink="">
          <cdr:nvSpPr>
            <cdr:cNvPr id="20" name="Left Brace 19">
              <a:extLst xmlns:a="http://schemas.openxmlformats.org/drawingml/2006/main">
                <a:ext uri="{FF2B5EF4-FFF2-40B4-BE49-F238E27FC236}">
                  <a16:creationId xmlns:a16="http://schemas.microsoft.com/office/drawing/2014/main" id="{FC3A19E3-0E88-48B5-B851-36EC8B5CED9A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21" name="Group 20">
            <a:extLst xmlns:a="http://schemas.openxmlformats.org/drawingml/2006/main">
              <a:ext uri="{FF2B5EF4-FFF2-40B4-BE49-F238E27FC236}">
                <a16:creationId xmlns:a16="http://schemas.microsoft.com/office/drawing/2014/main" id="{2F54288E-1D39-4628-B395-A692132A837D}"/>
              </a:ext>
            </a:extLst>
          </cdr:cNvPr>
          <cdr:cNvGrpSpPr/>
        </cdr:nvGrpSpPr>
        <cdr:grpSpPr>
          <a:xfrm xmlns:a="http://schemas.openxmlformats.org/drawingml/2006/main">
            <a:off x="3730888" y="4665444"/>
            <a:ext cx="519854" cy="433895"/>
            <a:chOff x="0" y="0"/>
            <a:chExt cx="520002" cy="433754"/>
          </a:xfrm>
        </cdr:grpSpPr>
        <cdr:sp macro="" textlink="">
          <cdr:nvSpPr>
            <cdr:cNvPr id="2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1F9E93F3-DA21-458F-A167-86FF3BD07509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38</a:t>
              </a:r>
            </a:p>
          </cdr:txBody>
        </cdr:sp>
        <cdr:sp macro="" textlink="">
          <cdr:nvSpPr>
            <cdr:cNvPr id="23" name="Left Brace 22">
              <a:extLst xmlns:a="http://schemas.openxmlformats.org/drawingml/2006/main">
                <a:ext uri="{FF2B5EF4-FFF2-40B4-BE49-F238E27FC236}">
                  <a16:creationId xmlns:a16="http://schemas.microsoft.com/office/drawing/2014/main" id="{FC3A19E3-0E88-48B5-B851-36EC8B5CED9A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24" name="Group 23">
            <a:extLst xmlns:a="http://schemas.openxmlformats.org/drawingml/2006/main">
              <a:ext uri="{FF2B5EF4-FFF2-40B4-BE49-F238E27FC236}">
                <a16:creationId xmlns:a16="http://schemas.microsoft.com/office/drawing/2014/main" id="{2F54288E-1D39-4628-B395-A692132A837D}"/>
              </a:ext>
            </a:extLst>
          </cdr:cNvPr>
          <cdr:cNvGrpSpPr/>
        </cdr:nvGrpSpPr>
        <cdr:grpSpPr>
          <a:xfrm xmlns:a="http://schemas.openxmlformats.org/drawingml/2006/main">
            <a:off x="3760225" y="5404284"/>
            <a:ext cx="519855" cy="433896"/>
            <a:chOff x="0" y="0"/>
            <a:chExt cx="520002" cy="433754"/>
          </a:xfrm>
        </cdr:grpSpPr>
        <cdr:sp macro="" textlink="">
          <cdr:nvSpPr>
            <cdr:cNvPr id="25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1F9E93F3-DA21-458F-A167-86FF3BD07509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45</a:t>
              </a:r>
            </a:p>
          </cdr:txBody>
        </cdr:sp>
        <cdr:sp macro="" textlink="">
          <cdr:nvSpPr>
            <cdr:cNvPr id="26" name="Left Brace 25">
              <a:extLst xmlns:a="http://schemas.openxmlformats.org/drawingml/2006/main">
                <a:ext uri="{FF2B5EF4-FFF2-40B4-BE49-F238E27FC236}">
                  <a16:creationId xmlns:a16="http://schemas.microsoft.com/office/drawing/2014/main" id="{FC3A19E3-0E88-48B5-B851-36EC8B5CED9A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</cdr:grp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0.04077</cdr:x>
      <cdr:y>0.14681</cdr:y>
    </cdr:from>
    <cdr:to>
      <cdr:x>0.79167</cdr:x>
      <cdr:y>0.19048</cdr:y>
    </cdr:to>
    <cdr:sp macro="" textlink="">
      <cdr:nvSpPr>
        <cdr:cNvPr id="6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01A4CE05-88BB-41A6-B01B-A7ADEBC80E21}"/>
            </a:ext>
          </a:extLst>
        </cdr:cNvPr>
        <cdr:cNvSpPr txBox="1"/>
      </cdr:nvSpPr>
      <cdr:spPr>
        <a:xfrm xmlns:a="http://schemas.openxmlformats.org/drawingml/2006/main">
          <a:off x="177980" y="922565"/>
          <a:ext cx="3278283" cy="2744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 baseline="0">
              <a:solidFill>
                <a:srgbClr val="9D2503"/>
              </a:solidFill>
              <a:latin typeface="BPG SSP Crystal" panose="020B0503030403020204" pitchFamily="34" charset="0"/>
            </a:rPr>
            <a:t>მერიტოკრატიული ღირებულებები</a:t>
          </a:r>
          <a:endParaRPr lang="ka-GE" sz="1200" b="1">
            <a:solidFill>
              <a:srgbClr val="9D2503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0.8317</cdr:x>
      <cdr:y>0.20053</cdr:y>
    </cdr:from>
    <cdr:to>
      <cdr:x>0.98398</cdr:x>
      <cdr:y>0.87348</cdr:y>
    </cdr:to>
    <cdr:grpSp>
      <cdr:nvGrpSpPr>
        <cdr:cNvPr id="27" name="Group 26">
          <a:extLst xmlns:a="http://schemas.openxmlformats.org/drawingml/2006/main">
            <a:ext uri="{FF2B5EF4-FFF2-40B4-BE49-F238E27FC236}">
              <a16:creationId xmlns:a16="http://schemas.microsoft.com/office/drawing/2014/main" id="{63EF9D0B-802C-403E-94D2-4E534C62D441}"/>
            </a:ext>
          </a:extLst>
        </cdr:cNvPr>
        <cdr:cNvGrpSpPr/>
      </cdr:nvGrpSpPr>
      <cdr:grpSpPr>
        <a:xfrm xmlns:a="http://schemas.openxmlformats.org/drawingml/2006/main">
          <a:off x="3636678" y="1262879"/>
          <a:ext cx="665857" cy="4238041"/>
          <a:chOff x="3195973" y="1259540"/>
          <a:chExt cx="585166" cy="4571919"/>
        </a:xfrm>
      </cdr:grpSpPr>
      <cdr:grpSp>
        <cdr:nvGrpSpPr>
          <cdr:cNvPr id="4" name="Group 3">
            <a:extLst xmlns:a="http://schemas.openxmlformats.org/drawingml/2006/main">
              <a:ext uri="{FF2B5EF4-FFF2-40B4-BE49-F238E27FC236}">
                <a16:creationId xmlns:a16="http://schemas.microsoft.com/office/drawing/2014/main" id="{7E6AE2E7-05A3-49FA-991E-79F631416D5C}"/>
              </a:ext>
            </a:extLst>
          </cdr:cNvPr>
          <cdr:cNvGrpSpPr/>
        </cdr:nvGrpSpPr>
        <cdr:grpSpPr>
          <a:xfrm xmlns:a="http://schemas.openxmlformats.org/drawingml/2006/main">
            <a:off x="3195973" y="1259540"/>
            <a:ext cx="574291" cy="3929430"/>
            <a:chOff x="3195973" y="1259540"/>
            <a:chExt cx="574291" cy="3929430"/>
          </a:xfrm>
        </cdr:grpSpPr>
        <cdr:grpSp>
          <cdr:nvGrpSpPr>
            <cdr:cNvPr id="3" name="Group 2">
              <a:extLst xmlns:a="http://schemas.openxmlformats.org/drawingml/2006/main">
                <a:ext uri="{FF2B5EF4-FFF2-40B4-BE49-F238E27FC236}">
                  <a16:creationId xmlns:a16="http://schemas.microsoft.com/office/drawing/2014/main" id="{6EAC7DAB-3995-4AB4-A43B-37B05AD51FC6}"/>
                </a:ext>
              </a:extLst>
            </cdr:cNvPr>
            <cdr:cNvGrpSpPr/>
          </cdr:nvGrpSpPr>
          <cdr:grpSpPr>
            <a:xfrm xmlns:a="http://schemas.openxmlformats.org/drawingml/2006/main">
              <a:off x="3195973" y="1259540"/>
              <a:ext cx="541628" cy="2492010"/>
              <a:chOff x="3195973" y="1259540"/>
              <a:chExt cx="541628" cy="2492010"/>
            </a:xfrm>
          </cdr:grpSpPr>
          <cdr:grpSp>
            <cdr:nvGrpSpPr>
              <cdr:cNvPr id="2" name="Group 1">
                <a:extLst xmlns:a="http://schemas.openxmlformats.org/drawingml/2006/main">
                  <a:ext uri="{FF2B5EF4-FFF2-40B4-BE49-F238E27FC236}">
                    <a16:creationId xmlns:a16="http://schemas.microsoft.com/office/drawing/2014/main" id="{04E18BFE-B37A-4DEA-AFA6-1FBB0870FC22}"/>
                  </a:ext>
                </a:extLst>
              </cdr:cNvPr>
              <cdr:cNvGrpSpPr/>
            </cdr:nvGrpSpPr>
            <cdr:grpSpPr>
              <a:xfrm xmlns:a="http://schemas.openxmlformats.org/drawingml/2006/main">
                <a:off x="3195973" y="1259540"/>
                <a:ext cx="519879" cy="1119976"/>
                <a:chOff x="3195973" y="1259540"/>
                <a:chExt cx="519879" cy="1119976"/>
              </a:xfrm>
            </cdr:grpSpPr>
            <cdr:grpSp>
              <cdr:nvGrpSpPr>
                <cdr:cNvPr id="5" name="Group 4">
                  <a:extLst xmlns:a="http://schemas.openxmlformats.org/drawingml/2006/main">
                    <a:ext uri="{FF2B5EF4-FFF2-40B4-BE49-F238E27FC236}">
                      <a16:creationId xmlns:a16="http://schemas.microsoft.com/office/drawing/2014/main" id="{BF9897F5-DFB4-4DB9-BF34-DE0AAD8E4CCA}"/>
                    </a:ext>
                  </a:extLst>
                </cdr:cNvPr>
                <cdr:cNvGrpSpPr/>
              </cdr:nvGrpSpPr>
              <cdr:grpSpPr>
                <a:xfrm xmlns:a="http://schemas.openxmlformats.org/drawingml/2006/main">
                  <a:off x="3195973" y="1259540"/>
                  <a:ext cx="519879" cy="433896"/>
                  <a:chOff x="0" y="0"/>
                  <a:chExt cx="520002" cy="433754"/>
                </a:xfrm>
              </cdr:grpSpPr>
              <cdr:sp macro="" textlink="">
                <cdr:nvSpPr>
                  <cdr:cNvPr id="7" name="TextBox 2">
                    <a:extLst xmlns:a="http://schemas.openxmlformats.org/drawingml/2006/main">
                      <a:ext uri="{FF2B5EF4-FFF2-40B4-BE49-F238E27FC236}">
                        <a16:creationId xmlns:a16="http://schemas.microsoft.com/office/drawing/2014/main" id="{B2F336BE-7DFD-4D34-81DA-AFE86A64CBF3}"/>
                      </a:ext>
                    </a:extLst>
                  </cdr:cNvPr>
                  <cdr:cNvSpPr txBox="1"/>
                </cdr:nvSpPr>
                <cdr:spPr>
                  <a:xfrm xmlns:a="http://schemas.openxmlformats.org/drawingml/2006/main">
                    <a:off x="117231" y="51079"/>
                    <a:ext cx="402771" cy="381000"/>
                  </a:xfrm>
                  <a:prstGeom xmlns:a="http://schemas.openxmlformats.org/drawingml/2006/main" prst="rect">
                    <a:avLst/>
                  </a:prstGeom>
                </cdr:spPr>
                <cdr:txBody>
                  <a:bodyPr xmlns:a="http://schemas.openxmlformats.org/drawingml/2006/main" wrap="none" rtlCol="0"/>
                  <a:lstStyle xmlns:a="http://schemas.openxmlformats.org/drawingml/2006/main">
                    <a:lvl1pPr marL="0" indent="0">
                      <a:defRPr sz="1100">
                        <a:latin typeface="+mn-lt"/>
                        <a:ea typeface="+mn-ea"/>
                        <a:cs typeface="+mn-cs"/>
                      </a:defRPr>
                    </a:lvl1pPr>
                    <a:lvl2pPr marL="457200" indent="0">
                      <a:defRPr sz="1100">
                        <a:latin typeface="+mn-lt"/>
                        <a:ea typeface="+mn-ea"/>
                        <a:cs typeface="+mn-cs"/>
                      </a:defRPr>
                    </a:lvl2pPr>
                    <a:lvl3pPr marL="914400" indent="0">
                      <a:defRPr sz="1100">
                        <a:latin typeface="+mn-lt"/>
                        <a:ea typeface="+mn-ea"/>
                        <a:cs typeface="+mn-cs"/>
                      </a:defRPr>
                    </a:lvl3pPr>
                    <a:lvl4pPr marL="1371600" indent="0">
                      <a:defRPr sz="1100">
                        <a:latin typeface="+mn-lt"/>
                        <a:ea typeface="+mn-ea"/>
                        <a:cs typeface="+mn-cs"/>
                      </a:defRPr>
                    </a:lvl4pPr>
                    <a:lvl5pPr marL="1828800" indent="0">
                      <a:defRPr sz="1100">
                        <a:latin typeface="+mn-lt"/>
                        <a:ea typeface="+mn-ea"/>
                        <a:cs typeface="+mn-cs"/>
                      </a:defRPr>
                    </a:lvl5pPr>
                    <a:lvl6pPr marL="2286000" indent="0">
                      <a:defRPr sz="1100">
                        <a:latin typeface="+mn-lt"/>
                        <a:ea typeface="+mn-ea"/>
                        <a:cs typeface="+mn-cs"/>
                      </a:defRPr>
                    </a:lvl6pPr>
                    <a:lvl7pPr marL="2743200" indent="0">
                      <a:defRPr sz="1100">
                        <a:latin typeface="+mn-lt"/>
                        <a:ea typeface="+mn-ea"/>
                        <a:cs typeface="+mn-cs"/>
                      </a:defRPr>
                    </a:lvl7pPr>
                    <a:lvl8pPr marL="3200400" indent="0">
                      <a:defRPr sz="1100">
                        <a:latin typeface="+mn-lt"/>
                        <a:ea typeface="+mn-ea"/>
                        <a:cs typeface="+mn-cs"/>
                      </a:defRPr>
                    </a:lvl8pPr>
                    <a:lvl9pPr marL="3657600" indent="0">
                      <a:defRPr sz="1100">
                        <a:latin typeface="+mn-lt"/>
                        <a:ea typeface="+mn-ea"/>
                        <a:cs typeface="+mn-cs"/>
                      </a:defRPr>
                    </a:lvl9pPr>
                  </a:lstStyle>
                  <a:p xmlns:a="http://schemas.openxmlformats.org/drawingml/2006/main">
                    <a:r>
                      <a:rPr lang="en-US" sz="1600" b="1">
                        <a:solidFill>
                          <a:srgbClr val="9D2503"/>
                        </a:solidFill>
                        <a:latin typeface="Gill Sans MT" panose="020B0502020104020203" pitchFamily="34" charset="0"/>
                      </a:rPr>
                      <a:t>56</a:t>
                    </a:r>
                  </a:p>
                </cdr:txBody>
              </cdr:sp>
              <cdr:sp macro="" textlink="">
                <cdr:nvSpPr>
                  <cdr:cNvPr id="8" name="Left Brace 7">
                    <a:extLst xmlns:a="http://schemas.openxmlformats.org/drawingml/2006/main">
                      <a:ext uri="{FF2B5EF4-FFF2-40B4-BE49-F238E27FC236}">
                        <a16:creationId xmlns:a16="http://schemas.microsoft.com/office/drawing/2014/main" id="{38F8D97E-F39E-41F2-89F0-39934FD32AD0}"/>
                      </a:ext>
                    </a:extLst>
                  </cdr:cNvPr>
                  <cdr:cNvSpPr/>
                </cdr:nvSpPr>
                <cdr:spPr>
                  <a:xfrm xmlns:a="http://schemas.openxmlformats.org/drawingml/2006/main" rot="10800000">
                    <a:off x="0" y="0"/>
                    <a:ext cx="117914" cy="433754"/>
                  </a:xfrm>
                  <a:prstGeom xmlns:a="http://schemas.openxmlformats.org/drawingml/2006/main" prst="leftBrace">
                    <a:avLst>
                      <a:gd name="adj1" fmla="val 52129"/>
                      <a:gd name="adj2" fmla="val 50807"/>
                    </a:avLst>
                  </a:prstGeom>
                  <a:noFill xmlns:a="http://schemas.openxmlformats.org/drawingml/2006/main"/>
                  <a:ln xmlns:a="http://schemas.openxmlformats.org/drawingml/2006/main" w="19050">
                    <a:solidFill>
                      <a:srgbClr val="9D2503"/>
                    </a:solidFill>
                  </a:ln>
                </cdr:spPr>
                <cdr:style>
                  <a:lnRef xmlns:a="http://schemas.openxmlformats.org/drawingml/2006/main" idx="1">
                    <a:schemeClr val="accent1"/>
                  </a:lnRef>
                  <a:fillRef xmlns:a="http://schemas.openxmlformats.org/drawingml/2006/main" idx="0">
                    <a:schemeClr val="accent1"/>
                  </a:fillRef>
                  <a:effectRef xmlns:a="http://schemas.openxmlformats.org/drawingml/2006/main" idx="0">
                    <a:schemeClr val="accent1"/>
                  </a:effectRef>
                  <a:fontRef xmlns:a="http://schemas.openxmlformats.org/drawingml/2006/main" idx="minor">
                    <a:schemeClr val="tx1"/>
                  </a:fontRef>
                </cdr:style>
                <cdr:txBody>
                  <a:bodyPr xmlns:a="http://schemas.openxmlformats.org/drawingml/2006/main"/>
                  <a:lstStyle xmlns:a="http://schemas.openxmlformats.org/drawingml/2006/main">
                    <a:lvl1pPr marL="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 xmlns:a="http://schemas.openxmlformats.org/drawingml/2006/main">
                    <a:endParaRPr lang="en-US">
                      <a:solidFill>
                        <a:srgbClr val="9D2503"/>
                      </a:solidFill>
                    </a:endParaRPr>
                  </a:p>
                </cdr:txBody>
              </cdr:sp>
            </cdr:grpSp>
            <cdr:grpSp>
              <cdr:nvGrpSpPr>
                <cdr:cNvPr id="9" name="Group 8">
                  <a:extLst xmlns:a="http://schemas.openxmlformats.org/drawingml/2006/main">
                    <a:ext uri="{FF2B5EF4-FFF2-40B4-BE49-F238E27FC236}">
                      <a16:creationId xmlns:a16="http://schemas.microsoft.com/office/drawing/2014/main" id="{BF9897F5-DFB4-4DB9-BF34-DE0AAD8E4CCA}"/>
                    </a:ext>
                  </a:extLst>
                </cdr:cNvPr>
                <cdr:cNvGrpSpPr/>
              </cdr:nvGrpSpPr>
              <cdr:grpSpPr>
                <a:xfrm xmlns:a="http://schemas.openxmlformats.org/drawingml/2006/main">
                  <a:off x="3195973" y="1945620"/>
                  <a:ext cx="519879" cy="433896"/>
                  <a:chOff x="0" y="0"/>
                  <a:chExt cx="520002" cy="433754"/>
                </a:xfrm>
              </cdr:grpSpPr>
              <cdr:sp macro="" textlink="">
                <cdr:nvSpPr>
                  <cdr:cNvPr id="10" name="TextBox 2">
                    <a:extLst xmlns:a="http://schemas.openxmlformats.org/drawingml/2006/main">
                      <a:ext uri="{FF2B5EF4-FFF2-40B4-BE49-F238E27FC236}">
                        <a16:creationId xmlns:a16="http://schemas.microsoft.com/office/drawing/2014/main" id="{B2F336BE-7DFD-4D34-81DA-AFE86A64CBF3}"/>
                      </a:ext>
                    </a:extLst>
                  </cdr:cNvPr>
                  <cdr:cNvSpPr txBox="1"/>
                </cdr:nvSpPr>
                <cdr:spPr>
                  <a:xfrm xmlns:a="http://schemas.openxmlformats.org/drawingml/2006/main">
                    <a:off x="117231" y="51079"/>
                    <a:ext cx="402771" cy="381000"/>
                  </a:xfrm>
                  <a:prstGeom xmlns:a="http://schemas.openxmlformats.org/drawingml/2006/main" prst="rect">
                    <a:avLst/>
                  </a:prstGeom>
                </cdr:spPr>
                <cdr:txBody>
                  <a:bodyPr xmlns:a="http://schemas.openxmlformats.org/drawingml/2006/main" wrap="none" rtlCol="0"/>
                  <a:lstStyle xmlns:a="http://schemas.openxmlformats.org/drawingml/2006/main">
                    <a:lvl1pPr marL="0" indent="0">
                      <a:defRPr sz="1100">
                        <a:latin typeface="+mn-lt"/>
                        <a:ea typeface="+mn-ea"/>
                        <a:cs typeface="+mn-cs"/>
                      </a:defRPr>
                    </a:lvl1pPr>
                    <a:lvl2pPr marL="457200" indent="0">
                      <a:defRPr sz="1100">
                        <a:latin typeface="+mn-lt"/>
                        <a:ea typeface="+mn-ea"/>
                        <a:cs typeface="+mn-cs"/>
                      </a:defRPr>
                    </a:lvl2pPr>
                    <a:lvl3pPr marL="914400" indent="0">
                      <a:defRPr sz="1100">
                        <a:latin typeface="+mn-lt"/>
                        <a:ea typeface="+mn-ea"/>
                        <a:cs typeface="+mn-cs"/>
                      </a:defRPr>
                    </a:lvl3pPr>
                    <a:lvl4pPr marL="1371600" indent="0">
                      <a:defRPr sz="1100">
                        <a:latin typeface="+mn-lt"/>
                        <a:ea typeface="+mn-ea"/>
                        <a:cs typeface="+mn-cs"/>
                      </a:defRPr>
                    </a:lvl4pPr>
                    <a:lvl5pPr marL="1828800" indent="0">
                      <a:defRPr sz="1100">
                        <a:latin typeface="+mn-lt"/>
                        <a:ea typeface="+mn-ea"/>
                        <a:cs typeface="+mn-cs"/>
                      </a:defRPr>
                    </a:lvl5pPr>
                    <a:lvl6pPr marL="2286000" indent="0">
                      <a:defRPr sz="1100">
                        <a:latin typeface="+mn-lt"/>
                        <a:ea typeface="+mn-ea"/>
                        <a:cs typeface="+mn-cs"/>
                      </a:defRPr>
                    </a:lvl6pPr>
                    <a:lvl7pPr marL="2743200" indent="0">
                      <a:defRPr sz="1100">
                        <a:latin typeface="+mn-lt"/>
                        <a:ea typeface="+mn-ea"/>
                        <a:cs typeface="+mn-cs"/>
                      </a:defRPr>
                    </a:lvl7pPr>
                    <a:lvl8pPr marL="3200400" indent="0">
                      <a:defRPr sz="1100">
                        <a:latin typeface="+mn-lt"/>
                        <a:ea typeface="+mn-ea"/>
                        <a:cs typeface="+mn-cs"/>
                      </a:defRPr>
                    </a:lvl8pPr>
                    <a:lvl9pPr marL="3657600" indent="0">
                      <a:defRPr sz="1100">
                        <a:latin typeface="+mn-lt"/>
                        <a:ea typeface="+mn-ea"/>
                        <a:cs typeface="+mn-cs"/>
                      </a:defRPr>
                    </a:lvl9pPr>
                  </a:lstStyle>
                  <a:p xmlns:a="http://schemas.openxmlformats.org/drawingml/2006/main">
                    <a:r>
                      <a:rPr lang="en-US" sz="1600" b="1">
                        <a:solidFill>
                          <a:srgbClr val="9D2503"/>
                        </a:solidFill>
                        <a:latin typeface="Gill Sans MT" panose="020B0502020104020203" pitchFamily="34" charset="0"/>
                      </a:rPr>
                      <a:t>53</a:t>
                    </a:r>
                  </a:p>
                </cdr:txBody>
              </cdr:sp>
              <cdr:sp macro="" textlink="">
                <cdr:nvSpPr>
                  <cdr:cNvPr id="11" name="Left Brace 10">
                    <a:extLst xmlns:a="http://schemas.openxmlformats.org/drawingml/2006/main">
                      <a:ext uri="{FF2B5EF4-FFF2-40B4-BE49-F238E27FC236}">
                        <a16:creationId xmlns:a16="http://schemas.microsoft.com/office/drawing/2014/main" id="{38F8D97E-F39E-41F2-89F0-39934FD32AD0}"/>
                      </a:ext>
                    </a:extLst>
                  </cdr:cNvPr>
                  <cdr:cNvSpPr/>
                </cdr:nvSpPr>
                <cdr:spPr>
                  <a:xfrm xmlns:a="http://schemas.openxmlformats.org/drawingml/2006/main" rot="10800000">
                    <a:off x="0" y="0"/>
                    <a:ext cx="117914" cy="433754"/>
                  </a:xfrm>
                  <a:prstGeom xmlns:a="http://schemas.openxmlformats.org/drawingml/2006/main" prst="leftBrace">
                    <a:avLst>
                      <a:gd name="adj1" fmla="val 52129"/>
                      <a:gd name="adj2" fmla="val 50807"/>
                    </a:avLst>
                  </a:prstGeom>
                  <a:noFill xmlns:a="http://schemas.openxmlformats.org/drawingml/2006/main"/>
                  <a:ln xmlns:a="http://schemas.openxmlformats.org/drawingml/2006/main" w="19050">
                    <a:solidFill>
                      <a:srgbClr val="9D2503"/>
                    </a:solidFill>
                  </a:ln>
                </cdr:spPr>
                <cdr:style>
                  <a:lnRef xmlns:a="http://schemas.openxmlformats.org/drawingml/2006/main" idx="1">
                    <a:schemeClr val="accent1"/>
                  </a:lnRef>
                  <a:fillRef xmlns:a="http://schemas.openxmlformats.org/drawingml/2006/main" idx="0">
                    <a:schemeClr val="accent1"/>
                  </a:fillRef>
                  <a:effectRef xmlns:a="http://schemas.openxmlformats.org/drawingml/2006/main" idx="0">
                    <a:schemeClr val="accent1"/>
                  </a:effectRef>
                  <a:fontRef xmlns:a="http://schemas.openxmlformats.org/drawingml/2006/main" idx="minor">
                    <a:schemeClr val="tx1"/>
                  </a:fontRef>
                </cdr:style>
                <cdr:txBody>
                  <a:bodyPr xmlns:a="http://schemas.openxmlformats.org/drawingml/2006/main"/>
                  <a:lstStyle xmlns:a="http://schemas.openxmlformats.org/drawingml/2006/main">
                    <a:lvl1pPr marL="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 xmlns:a="http://schemas.openxmlformats.org/drawingml/2006/main">
                    <a:endParaRPr lang="en-US"/>
                  </a:p>
                </cdr:txBody>
              </cdr:sp>
            </cdr:grpSp>
          </cdr:grpSp>
          <cdr:grpSp>
            <cdr:nvGrpSpPr>
              <cdr:cNvPr id="12" name="Group 11">
                <a:extLst xmlns:a="http://schemas.openxmlformats.org/drawingml/2006/main">
                  <a:ext uri="{FF2B5EF4-FFF2-40B4-BE49-F238E27FC236}">
                    <a16:creationId xmlns:a16="http://schemas.microsoft.com/office/drawing/2014/main" id="{BF9897F5-DFB4-4DB9-BF34-DE0AAD8E4CCA}"/>
                  </a:ext>
                </a:extLst>
              </cdr:cNvPr>
              <cdr:cNvGrpSpPr/>
            </cdr:nvGrpSpPr>
            <cdr:grpSpPr>
              <a:xfrm xmlns:a="http://schemas.openxmlformats.org/drawingml/2006/main">
                <a:off x="3217722" y="2653433"/>
                <a:ext cx="519879" cy="433895"/>
                <a:chOff x="0" y="0"/>
                <a:chExt cx="520002" cy="433754"/>
              </a:xfrm>
            </cdr:grpSpPr>
            <cdr:sp macro="" textlink="">
              <cdr:nvSpPr>
                <cdr:cNvPr id="13" name="TextBox 2">
                  <a:extLst xmlns:a="http://schemas.openxmlformats.org/drawingml/2006/main">
                    <a:ext uri="{FF2B5EF4-FFF2-40B4-BE49-F238E27FC236}">
                      <a16:creationId xmlns:a16="http://schemas.microsoft.com/office/drawing/2014/main" id="{B2F336BE-7DFD-4D34-81DA-AFE86A64CBF3}"/>
                    </a:ext>
                  </a:extLst>
                </cdr:cNvPr>
                <cdr:cNvSpPr txBox="1"/>
              </cdr:nvSpPr>
              <cdr:spPr>
                <a:xfrm xmlns:a="http://schemas.openxmlformats.org/drawingml/2006/main">
                  <a:off x="117231" y="51079"/>
                  <a:ext cx="402771" cy="381000"/>
                </a:xfrm>
                <a:prstGeom xmlns:a="http://schemas.openxmlformats.org/drawingml/2006/main" prst="rect">
                  <a:avLst/>
                </a:prstGeom>
              </cdr:spPr>
              <cdr:txBody>
                <a:bodyPr xmlns:a="http://schemas.openxmlformats.org/drawingml/2006/main" wrap="none" rtlCol="0"/>
                <a:lstStyle xmlns:a="http://schemas.openxmlformats.org/drawingml/2006/main">
                  <a:lvl1pPr marL="0" indent="0">
                    <a:defRPr sz="1100">
                      <a:latin typeface="+mn-lt"/>
                      <a:ea typeface="+mn-ea"/>
                      <a:cs typeface="+mn-cs"/>
                    </a:defRPr>
                  </a:lvl1pPr>
                  <a:lvl2pPr marL="457200" indent="0">
                    <a:defRPr sz="1100">
                      <a:latin typeface="+mn-lt"/>
                      <a:ea typeface="+mn-ea"/>
                      <a:cs typeface="+mn-cs"/>
                    </a:defRPr>
                  </a:lvl2pPr>
                  <a:lvl3pPr marL="914400" indent="0">
                    <a:defRPr sz="1100">
                      <a:latin typeface="+mn-lt"/>
                      <a:ea typeface="+mn-ea"/>
                      <a:cs typeface="+mn-cs"/>
                    </a:defRPr>
                  </a:lvl3pPr>
                  <a:lvl4pPr marL="1371600" indent="0">
                    <a:defRPr sz="1100">
                      <a:latin typeface="+mn-lt"/>
                      <a:ea typeface="+mn-ea"/>
                      <a:cs typeface="+mn-cs"/>
                    </a:defRPr>
                  </a:lvl4pPr>
                  <a:lvl5pPr marL="1828800" indent="0">
                    <a:defRPr sz="1100">
                      <a:latin typeface="+mn-lt"/>
                      <a:ea typeface="+mn-ea"/>
                      <a:cs typeface="+mn-cs"/>
                    </a:defRPr>
                  </a:lvl5pPr>
                  <a:lvl6pPr marL="2286000" indent="0">
                    <a:defRPr sz="1100">
                      <a:latin typeface="+mn-lt"/>
                      <a:ea typeface="+mn-ea"/>
                      <a:cs typeface="+mn-cs"/>
                    </a:defRPr>
                  </a:lvl6pPr>
                  <a:lvl7pPr marL="2743200" indent="0">
                    <a:defRPr sz="1100">
                      <a:latin typeface="+mn-lt"/>
                      <a:ea typeface="+mn-ea"/>
                      <a:cs typeface="+mn-cs"/>
                    </a:defRPr>
                  </a:lvl7pPr>
                  <a:lvl8pPr marL="3200400" indent="0">
                    <a:defRPr sz="1100">
                      <a:latin typeface="+mn-lt"/>
                      <a:ea typeface="+mn-ea"/>
                      <a:cs typeface="+mn-cs"/>
                    </a:defRPr>
                  </a:lvl8pPr>
                  <a:lvl9pPr marL="3657600" indent="0">
                    <a:defRPr sz="1100">
                      <a:latin typeface="+mn-lt"/>
                      <a:ea typeface="+mn-ea"/>
                      <a:cs typeface="+mn-cs"/>
                    </a:defRPr>
                  </a:lvl9pPr>
                </a:lstStyle>
                <a:p xmlns:a="http://schemas.openxmlformats.org/drawingml/2006/main">
                  <a:r>
                    <a:rPr lang="en-US" sz="1600" b="1">
                      <a:solidFill>
                        <a:srgbClr val="9D2503"/>
                      </a:solidFill>
                      <a:latin typeface="Gill Sans MT" panose="020B0502020104020203" pitchFamily="34" charset="0"/>
                    </a:rPr>
                    <a:t>52</a:t>
                  </a:r>
                </a:p>
              </cdr:txBody>
            </cdr:sp>
            <cdr:sp macro="" textlink="">
              <cdr:nvSpPr>
                <cdr:cNvPr id="14" name="Left Brace 13">
                  <a:extLst xmlns:a="http://schemas.openxmlformats.org/drawingml/2006/main">
                    <a:ext uri="{FF2B5EF4-FFF2-40B4-BE49-F238E27FC236}">
                      <a16:creationId xmlns:a16="http://schemas.microsoft.com/office/drawing/2014/main" id="{38F8D97E-F39E-41F2-89F0-39934FD32AD0}"/>
                    </a:ext>
                  </a:extLst>
                </cdr:cNvPr>
                <cdr:cNvSpPr/>
              </cdr:nvSpPr>
              <cdr:spPr>
                <a:xfrm xmlns:a="http://schemas.openxmlformats.org/drawingml/2006/main" rot="10800000">
                  <a:off x="0" y="0"/>
                  <a:ext cx="117914" cy="433754"/>
                </a:xfrm>
                <a:prstGeom xmlns:a="http://schemas.openxmlformats.org/drawingml/2006/main" prst="leftBrace">
                  <a:avLst>
                    <a:gd name="adj1" fmla="val 52129"/>
                    <a:gd name="adj2" fmla="val 50807"/>
                  </a:avLst>
                </a:prstGeom>
                <a:noFill xmlns:a="http://schemas.openxmlformats.org/drawingml/2006/main"/>
                <a:ln xmlns:a="http://schemas.openxmlformats.org/drawingml/2006/main" w="19050">
                  <a:solidFill>
                    <a:srgbClr val="9D2503"/>
                  </a:solidFill>
                </a:ln>
              </cdr:spPr>
              <cdr:style>
                <a:lnRef xmlns:a="http://schemas.openxmlformats.org/drawingml/2006/main" idx="1">
                  <a:schemeClr val="accent1"/>
                </a:lnRef>
                <a:fillRef xmlns:a="http://schemas.openxmlformats.org/drawingml/2006/main" idx="0">
                  <a:schemeClr val="accent1"/>
                </a:fillRef>
                <a:effectRef xmlns:a="http://schemas.openxmlformats.org/drawingml/2006/main" idx="0">
                  <a:schemeClr val="accent1"/>
                </a:effectRef>
                <a:fontRef xmlns:a="http://schemas.openxmlformats.org/drawingml/2006/main" idx="minor">
                  <a:schemeClr val="tx1"/>
                </a:fontRef>
              </cdr:style>
              <cdr:txBody>
                <a:bodyPr xmlns:a="http://schemas.openxmlformats.org/drawingml/2006/main"/>
                <a:lstStyle xmlns:a="http://schemas.openxmlformats.org/drawingml/2006/main">
                  <a:lvl1pPr marL="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 xmlns:a="http://schemas.openxmlformats.org/drawingml/2006/main">
                  <a:endParaRPr lang="en-US"/>
                </a:p>
              </cdr:txBody>
            </cdr:sp>
          </cdr:grpSp>
          <cdr:grpSp>
            <cdr:nvGrpSpPr>
              <cdr:cNvPr id="15" name="Group 14">
                <a:extLst xmlns:a="http://schemas.openxmlformats.org/drawingml/2006/main">
                  <a:ext uri="{FF2B5EF4-FFF2-40B4-BE49-F238E27FC236}">
                    <a16:creationId xmlns:a16="http://schemas.microsoft.com/office/drawing/2014/main" id="{BF9897F5-DFB4-4DB9-BF34-DE0AAD8E4CCA}"/>
                  </a:ext>
                </a:extLst>
              </cdr:cNvPr>
              <cdr:cNvGrpSpPr/>
            </cdr:nvGrpSpPr>
            <cdr:grpSpPr>
              <a:xfrm xmlns:a="http://schemas.openxmlformats.org/drawingml/2006/main">
                <a:off x="3217722" y="3317654"/>
                <a:ext cx="519879" cy="433896"/>
                <a:chOff x="0" y="0"/>
                <a:chExt cx="520002" cy="433754"/>
              </a:xfrm>
            </cdr:grpSpPr>
            <cdr:sp macro="" textlink="">
              <cdr:nvSpPr>
                <cdr:cNvPr id="16" name="TextBox 2">
                  <a:extLst xmlns:a="http://schemas.openxmlformats.org/drawingml/2006/main">
                    <a:ext uri="{FF2B5EF4-FFF2-40B4-BE49-F238E27FC236}">
                      <a16:creationId xmlns:a16="http://schemas.microsoft.com/office/drawing/2014/main" id="{B2F336BE-7DFD-4D34-81DA-AFE86A64CBF3}"/>
                    </a:ext>
                  </a:extLst>
                </cdr:cNvPr>
                <cdr:cNvSpPr txBox="1"/>
              </cdr:nvSpPr>
              <cdr:spPr>
                <a:xfrm xmlns:a="http://schemas.openxmlformats.org/drawingml/2006/main">
                  <a:off x="117231" y="51079"/>
                  <a:ext cx="402771" cy="381000"/>
                </a:xfrm>
                <a:prstGeom xmlns:a="http://schemas.openxmlformats.org/drawingml/2006/main" prst="rect">
                  <a:avLst/>
                </a:prstGeom>
              </cdr:spPr>
              <cdr:txBody>
                <a:bodyPr xmlns:a="http://schemas.openxmlformats.org/drawingml/2006/main" wrap="none" rtlCol="0"/>
                <a:lstStyle xmlns:a="http://schemas.openxmlformats.org/drawingml/2006/main">
                  <a:lvl1pPr marL="0" indent="0">
                    <a:defRPr sz="1100">
                      <a:latin typeface="+mn-lt"/>
                      <a:ea typeface="+mn-ea"/>
                      <a:cs typeface="+mn-cs"/>
                    </a:defRPr>
                  </a:lvl1pPr>
                  <a:lvl2pPr marL="457200" indent="0">
                    <a:defRPr sz="1100">
                      <a:latin typeface="+mn-lt"/>
                      <a:ea typeface="+mn-ea"/>
                      <a:cs typeface="+mn-cs"/>
                    </a:defRPr>
                  </a:lvl2pPr>
                  <a:lvl3pPr marL="914400" indent="0">
                    <a:defRPr sz="1100">
                      <a:latin typeface="+mn-lt"/>
                      <a:ea typeface="+mn-ea"/>
                      <a:cs typeface="+mn-cs"/>
                    </a:defRPr>
                  </a:lvl3pPr>
                  <a:lvl4pPr marL="1371600" indent="0">
                    <a:defRPr sz="1100">
                      <a:latin typeface="+mn-lt"/>
                      <a:ea typeface="+mn-ea"/>
                      <a:cs typeface="+mn-cs"/>
                    </a:defRPr>
                  </a:lvl4pPr>
                  <a:lvl5pPr marL="1828800" indent="0">
                    <a:defRPr sz="1100">
                      <a:latin typeface="+mn-lt"/>
                      <a:ea typeface="+mn-ea"/>
                      <a:cs typeface="+mn-cs"/>
                    </a:defRPr>
                  </a:lvl5pPr>
                  <a:lvl6pPr marL="2286000" indent="0">
                    <a:defRPr sz="1100">
                      <a:latin typeface="+mn-lt"/>
                      <a:ea typeface="+mn-ea"/>
                      <a:cs typeface="+mn-cs"/>
                    </a:defRPr>
                  </a:lvl6pPr>
                  <a:lvl7pPr marL="2743200" indent="0">
                    <a:defRPr sz="1100">
                      <a:latin typeface="+mn-lt"/>
                      <a:ea typeface="+mn-ea"/>
                      <a:cs typeface="+mn-cs"/>
                    </a:defRPr>
                  </a:lvl7pPr>
                  <a:lvl8pPr marL="3200400" indent="0">
                    <a:defRPr sz="1100">
                      <a:latin typeface="+mn-lt"/>
                      <a:ea typeface="+mn-ea"/>
                      <a:cs typeface="+mn-cs"/>
                    </a:defRPr>
                  </a:lvl8pPr>
                  <a:lvl9pPr marL="3657600" indent="0">
                    <a:defRPr sz="1100">
                      <a:latin typeface="+mn-lt"/>
                      <a:ea typeface="+mn-ea"/>
                      <a:cs typeface="+mn-cs"/>
                    </a:defRPr>
                  </a:lvl9pPr>
                </a:lstStyle>
                <a:p xmlns:a="http://schemas.openxmlformats.org/drawingml/2006/main">
                  <a:r>
                    <a:rPr lang="en-US" sz="1600" b="1">
                      <a:solidFill>
                        <a:srgbClr val="9D2503"/>
                      </a:solidFill>
                      <a:latin typeface="Gill Sans MT" panose="020B0502020104020203" pitchFamily="34" charset="0"/>
                    </a:rPr>
                    <a:t>52</a:t>
                  </a:r>
                </a:p>
              </cdr:txBody>
            </cdr:sp>
            <cdr:sp macro="" textlink="">
              <cdr:nvSpPr>
                <cdr:cNvPr id="17" name="Left Brace 16">
                  <a:extLst xmlns:a="http://schemas.openxmlformats.org/drawingml/2006/main">
                    <a:ext uri="{FF2B5EF4-FFF2-40B4-BE49-F238E27FC236}">
                      <a16:creationId xmlns:a16="http://schemas.microsoft.com/office/drawing/2014/main" id="{38F8D97E-F39E-41F2-89F0-39934FD32AD0}"/>
                    </a:ext>
                  </a:extLst>
                </cdr:cNvPr>
                <cdr:cNvSpPr/>
              </cdr:nvSpPr>
              <cdr:spPr>
                <a:xfrm xmlns:a="http://schemas.openxmlformats.org/drawingml/2006/main" rot="10800000">
                  <a:off x="0" y="0"/>
                  <a:ext cx="117914" cy="433754"/>
                </a:xfrm>
                <a:prstGeom xmlns:a="http://schemas.openxmlformats.org/drawingml/2006/main" prst="leftBrace">
                  <a:avLst>
                    <a:gd name="adj1" fmla="val 52129"/>
                    <a:gd name="adj2" fmla="val 50807"/>
                  </a:avLst>
                </a:prstGeom>
                <a:noFill xmlns:a="http://schemas.openxmlformats.org/drawingml/2006/main"/>
                <a:ln xmlns:a="http://schemas.openxmlformats.org/drawingml/2006/main" w="19050">
                  <a:solidFill>
                    <a:srgbClr val="9D2503"/>
                  </a:solidFill>
                </a:ln>
              </cdr:spPr>
              <cdr:style>
                <a:lnRef xmlns:a="http://schemas.openxmlformats.org/drawingml/2006/main" idx="1">
                  <a:schemeClr val="accent1"/>
                </a:lnRef>
                <a:fillRef xmlns:a="http://schemas.openxmlformats.org/drawingml/2006/main" idx="0">
                  <a:schemeClr val="accent1"/>
                </a:fillRef>
                <a:effectRef xmlns:a="http://schemas.openxmlformats.org/drawingml/2006/main" idx="0">
                  <a:schemeClr val="accent1"/>
                </a:effectRef>
                <a:fontRef xmlns:a="http://schemas.openxmlformats.org/drawingml/2006/main" idx="minor">
                  <a:schemeClr val="tx1"/>
                </a:fontRef>
              </cdr:style>
              <cdr:txBody>
                <a:bodyPr xmlns:a="http://schemas.openxmlformats.org/drawingml/2006/main"/>
                <a:lstStyle xmlns:a="http://schemas.openxmlformats.org/drawingml/2006/main">
                  <a:lvl1pPr marL="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 xmlns:a="http://schemas.openxmlformats.org/drawingml/2006/main">
                  <a:endParaRPr lang="en-US"/>
                </a:p>
              </cdr:txBody>
            </cdr:sp>
          </cdr:grpSp>
        </cdr:grpSp>
        <cdr:grpSp>
          <cdr:nvGrpSpPr>
            <cdr:cNvPr id="18" name="Group 17">
              <a:extLst xmlns:a="http://schemas.openxmlformats.org/drawingml/2006/main">
                <a:ext uri="{FF2B5EF4-FFF2-40B4-BE49-F238E27FC236}">
                  <a16:creationId xmlns:a16="http://schemas.microsoft.com/office/drawing/2014/main" id="{BF9897F5-DFB4-4DB9-BF34-DE0AAD8E4CCA}"/>
                </a:ext>
              </a:extLst>
            </cdr:cNvPr>
            <cdr:cNvGrpSpPr/>
          </cdr:nvGrpSpPr>
          <cdr:grpSpPr>
            <a:xfrm xmlns:a="http://schemas.openxmlformats.org/drawingml/2006/main">
              <a:off x="3228636" y="4058128"/>
              <a:ext cx="519840" cy="433896"/>
              <a:chOff x="0" y="0"/>
              <a:chExt cx="520002" cy="433754"/>
            </a:xfrm>
          </cdr:grpSpPr>
          <cdr:sp macro="" textlink="">
            <cdr:nvSpPr>
              <cdr:cNvPr id="19" name="TextBox 2">
                <a:extLst xmlns:a="http://schemas.openxmlformats.org/drawingml/2006/main">
                  <a:ext uri="{FF2B5EF4-FFF2-40B4-BE49-F238E27FC236}">
                    <a16:creationId xmlns:a16="http://schemas.microsoft.com/office/drawing/2014/main" id="{B2F336BE-7DFD-4D34-81DA-AFE86A64CBF3}"/>
                  </a:ext>
                </a:extLst>
              </cdr:cNvPr>
              <cdr:cNvSpPr txBox="1"/>
            </cdr:nvSpPr>
            <cdr:spPr>
              <a:xfrm xmlns:a="http://schemas.openxmlformats.org/drawingml/2006/main">
                <a:off x="117231" y="51079"/>
                <a:ext cx="402771" cy="381000"/>
              </a:xfrm>
              <a:prstGeom xmlns:a="http://schemas.openxmlformats.org/drawingml/2006/main" prst="rect">
                <a:avLst/>
              </a:prstGeom>
            </cdr:spPr>
            <cdr:txBody>
              <a:bodyPr xmlns:a="http://schemas.openxmlformats.org/drawingml/2006/main" wrap="none" rtlCol="0"/>
              <a:lstStyle xmlns:a="http://schemas.openxmlformats.org/drawingml/2006/main">
                <a:lvl1pPr marL="0" indent="0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 xmlns:a="http://schemas.openxmlformats.org/drawingml/2006/main">
                <a:r>
                  <a:rPr lang="en-US" sz="1600" b="1">
                    <a:solidFill>
                      <a:srgbClr val="9D2503"/>
                    </a:solidFill>
                    <a:latin typeface="Gill Sans MT" panose="020B0502020104020203" pitchFamily="34" charset="0"/>
                  </a:rPr>
                  <a:t>59</a:t>
                </a:r>
              </a:p>
            </cdr:txBody>
          </cdr:sp>
          <cdr:sp macro="" textlink="">
            <cdr:nvSpPr>
              <cdr:cNvPr id="20" name="Left Brace 19">
                <a:extLst xmlns:a="http://schemas.openxmlformats.org/drawingml/2006/main">
                  <a:ext uri="{FF2B5EF4-FFF2-40B4-BE49-F238E27FC236}">
                    <a16:creationId xmlns:a16="http://schemas.microsoft.com/office/drawing/2014/main" id="{38F8D97E-F39E-41F2-89F0-39934FD32AD0}"/>
                  </a:ext>
                </a:extLst>
              </cdr:cNvPr>
              <cdr:cNvSpPr/>
            </cdr:nvSpPr>
            <cdr:spPr>
              <a:xfrm xmlns:a="http://schemas.openxmlformats.org/drawingml/2006/main" rot="10800000">
                <a:off x="0" y="0"/>
                <a:ext cx="117914" cy="433754"/>
              </a:xfrm>
              <a:prstGeom xmlns:a="http://schemas.openxmlformats.org/drawingml/2006/main" prst="leftBrace">
                <a:avLst>
                  <a:gd name="adj1" fmla="val 52129"/>
                  <a:gd name="adj2" fmla="val 50807"/>
                </a:avLst>
              </a:prstGeom>
              <a:noFill xmlns:a="http://schemas.openxmlformats.org/drawingml/2006/main"/>
              <a:ln xmlns:a="http://schemas.openxmlformats.org/drawingml/2006/main" w="19050">
                <a:solidFill>
                  <a:srgbClr val="9D2503"/>
                </a:solidFill>
              </a:ln>
            </cdr:spPr>
            <cdr:style>
              <a:lnRef xmlns:a="http://schemas.openxmlformats.org/drawingml/2006/main" idx="1">
                <a:schemeClr val="accent1"/>
              </a:lnRef>
              <a:fillRef xmlns:a="http://schemas.openxmlformats.org/drawingml/2006/main" idx="0">
                <a:schemeClr val="accent1"/>
              </a:fillRef>
              <a:effectRef xmlns:a="http://schemas.openxmlformats.org/drawingml/2006/main" idx="0">
                <a:schemeClr val="accent1"/>
              </a:effectRef>
              <a:fontRef xmlns:a="http://schemas.openxmlformats.org/drawingml/2006/main" idx="minor">
                <a:schemeClr val="tx1"/>
              </a:fontRef>
            </cdr:style>
            <cdr:txBody>
              <a:bodyPr xmlns:a="http://schemas.openxmlformats.org/drawingml/2006/main"/>
              <a:lstStyle xmlns:a="http://schemas.openxmlformats.org/drawingml/2006/main"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 xmlns:a="http://schemas.openxmlformats.org/drawingml/2006/main">
                <a:endParaRPr lang="en-US"/>
              </a:p>
            </cdr:txBody>
          </cdr:sp>
        </cdr:grpSp>
        <cdr:grpSp>
          <cdr:nvGrpSpPr>
            <cdr:cNvPr id="21" name="Group 20">
              <a:extLst xmlns:a="http://schemas.openxmlformats.org/drawingml/2006/main">
                <a:ext uri="{FF2B5EF4-FFF2-40B4-BE49-F238E27FC236}">
                  <a16:creationId xmlns:a16="http://schemas.microsoft.com/office/drawing/2014/main" id="{BF9897F5-DFB4-4DB9-BF34-DE0AAD8E4CCA}"/>
                </a:ext>
              </a:extLst>
            </cdr:cNvPr>
            <cdr:cNvGrpSpPr/>
          </cdr:nvGrpSpPr>
          <cdr:grpSpPr>
            <a:xfrm xmlns:a="http://schemas.openxmlformats.org/drawingml/2006/main">
              <a:off x="3250385" y="4755074"/>
              <a:ext cx="519879" cy="433896"/>
              <a:chOff x="0" y="0"/>
              <a:chExt cx="520002" cy="433754"/>
            </a:xfrm>
          </cdr:grpSpPr>
          <cdr:sp macro="" textlink="">
            <cdr:nvSpPr>
              <cdr:cNvPr id="22" name="TextBox 2">
                <a:extLst xmlns:a="http://schemas.openxmlformats.org/drawingml/2006/main">
                  <a:ext uri="{FF2B5EF4-FFF2-40B4-BE49-F238E27FC236}">
                    <a16:creationId xmlns:a16="http://schemas.microsoft.com/office/drawing/2014/main" id="{B2F336BE-7DFD-4D34-81DA-AFE86A64CBF3}"/>
                  </a:ext>
                </a:extLst>
              </cdr:cNvPr>
              <cdr:cNvSpPr txBox="1"/>
            </cdr:nvSpPr>
            <cdr:spPr>
              <a:xfrm xmlns:a="http://schemas.openxmlformats.org/drawingml/2006/main">
                <a:off x="117231" y="51079"/>
                <a:ext cx="402771" cy="381000"/>
              </a:xfrm>
              <a:prstGeom xmlns:a="http://schemas.openxmlformats.org/drawingml/2006/main" prst="rect">
                <a:avLst/>
              </a:prstGeom>
            </cdr:spPr>
            <cdr:txBody>
              <a:bodyPr xmlns:a="http://schemas.openxmlformats.org/drawingml/2006/main" wrap="none" rtlCol="0"/>
              <a:lstStyle xmlns:a="http://schemas.openxmlformats.org/drawingml/2006/main">
                <a:lvl1pPr marL="0" indent="0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 xmlns:a="http://schemas.openxmlformats.org/drawingml/2006/main">
                <a:r>
                  <a:rPr lang="en-US" sz="1600" b="1">
                    <a:solidFill>
                      <a:srgbClr val="9D2503"/>
                    </a:solidFill>
                    <a:latin typeface="Gill Sans MT" panose="020B0502020104020203" pitchFamily="34" charset="0"/>
                  </a:rPr>
                  <a:t>56</a:t>
                </a:r>
              </a:p>
            </cdr:txBody>
          </cdr:sp>
          <cdr:sp macro="" textlink="">
            <cdr:nvSpPr>
              <cdr:cNvPr id="23" name="Left Brace 22">
                <a:extLst xmlns:a="http://schemas.openxmlformats.org/drawingml/2006/main">
                  <a:ext uri="{FF2B5EF4-FFF2-40B4-BE49-F238E27FC236}">
                    <a16:creationId xmlns:a16="http://schemas.microsoft.com/office/drawing/2014/main" id="{38F8D97E-F39E-41F2-89F0-39934FD32AD0}"/>
                  </a:ext>
                </a:extLst>
              </cdr:cNvPr>
              <cdr:cNvSpPr/>
            </cdr:nvSpPr>
            <cdr:spPr>
              <a:xfrm xmlns:a="http://schemas.openxmlformats.org/drawingml/2006/main" rot="10800000">
                <a:off x="0" y="0"/>
                <a:ext cx="117914" cy="433754"/>
              </a:xfrm>
              <a:prstGeom xmlns:a="http://schemas.openxmlformats.org/drawingml/2006/main" prst="leftBrace">
                <a:avLst>
                  <a:gd name="adj1" fmla="val 52129"/>
                  <a:gd name="adj2" fmla="val 50807"/>
                </a:avLst>
              </a:prstGeom>
              <a:noFill xmlns:a="http://schemas.openxmlformats.org/drawingml/2006/main"/>
              <a:ln xmlns:a="http://schemas.openxmlformats.org/drawingml/2006/main" w="19050">
                <a:solidFill>
                  <a:srgbClr val="9D2503"/>
                </a:solidFill>
              </a:ln>
            </cdr:spPr>
            <cdr:style>
              <a:lnRef xmlns:a="http://schemas.openxmlformats.org/drawingml/2006/main" idx="1">
                <a:schemeClr val="accent1"/>
              </a:lnRef>
              <a:fillRef xmlns:a="http://schemas.openxmlformats.org/drawingml/2006/main" idx="0">
                <a:schemeClr val="accent1"/>
              </a:fillRef>
              <a:effectRef xmlns:a="http://schemas.openxmlformats.org/drawingml/2006/main" idx="0">
                <a:schemeClr val="accent1"/>
              </a:effectRef>
              <a:fontRef xmlns:a="http://schemas.openxmlformats.org/drawingml/2006/main" idx="minor">
                <a:schemeClr val="tx1"/>
              </a:fontRef>
            </cdr:style>
            <cdr:txBody>
              <a:bodyPr xmlns:a="http://schemas.openxmlformats.org/drawingml/2006/main"/>
              <a:lstStyle xmlns:a="http://schemas.openxmlformats.org/drawingml/2006/main"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 xmlns:a="http://schemas.openxmlformats.org/drawingml/2006/main">
                <a:endParaRPr lang="en-US"/>
              </a:p>
            </cdr:txBody>
          </cdr:sp>
        </cdr:grpSp>
      </cdr:grpSp>
      <cdr:grpSp>
        <cdr:nvGrpSpPr>
          <cdr:cNvPr id="24" name="Group 23">
            <a:extLst xmlns:a="http://schemas.openxmlformats.org/drawingml/2006/main">
              <a:ext uri="{FF2B5EF4-FFF2-40B4-BE49-F238E27FC236}">
                <a16:creationId xmlns:a16="http://schemas.microsoft.com/office/drawing/2014/main" id="{BF9897F5-DFB4-4DB9-BF34-DE0AAD8E4CCA}"/>
              </a:ext>
            </a:extLst>
          </cdr:cNvPr>
          <cdr:cNvGrpSpPr/>
        </cdr:nvGrpSpPr>
        <cdr:grpSpPr>
          <a:xfrm xmlns:a="http://schemas.openxmlformats.org/drawingml/2006/main">
            <a:off x="3261260" y="5397564"/>
            <a:ext cx="519879" cy="433895"/>
            <a:chOff x="0" y="0"/>
            <a:chExt cx="520002" cy="433754"/>
          </a:xfrm>
        </cdr:grpSpPr>
        <cdr:sp macro="" textlink="">
          <cdr:nvSpPr>
            <cdr:cNvPr id="25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B2F336BE-7DFD-4D34-81DA-AFE86A64CBF3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9D2503"/>
                  </a:solidFill>
                  <a:latin typeface="Gill Sans MT" panose="020B0502020104020203" pitchFamily="34" charset="0"/>
                </a:rPr>
                <a:t>51</a:t>
              </a:r>
            </a:p>
          </cdr:txBody>
        </cdr:sp>
        <cdr:sp macro="" textlink="">
          <cdr:nvSpPr>
            <cdr:cNvPr id="26" name="Left Brace 25">
              <a:extLst xmlns:a="http://schemas.openxmlformats.org/drawingml/2006/main">
                <a:ext uri="{FF2B5EF4-FFF2-40B4-BE49-F238E27FC236}">
                  <a16:creationId xmlns:a16="http://schemas.microsoft.com/office/drawing/2014/main" id="{38F8D97E-F39E-41F2-89F0-39934FD32AD0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9D250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</cdr:grp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313997-D691-4495-83D5-E32FA0AAC2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0.66356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</cdr:x>
      <cdr:y>0.00571</cdr:y>
    </cdr:from>
    <cdr:to>
      <cdr:x>1</cdr:x>
      <cdr:y>0.15121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CBA76A9A-DCE8-4923-9967-E1F0BD28D130}"/>
            </a:ext>
          </a:extLst>
        </cdr:cNvPr>
        <cdr:cNvSpPr txBox="1"/>
      </cdr:nvSpPr>
      <cdr:spPr>
        <a:xfrm xmlns:a="http://schemas.openxmlformats.org/drawingml/2006/main">
          <a:off x="0" y="35859"/>
          <a:ext cx="8659906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800" b="1" i="0" u="none" strike="noStrike" baseline="0">
              <a:effectLst/>
              <a:latin typeface="BPG SSP Crystal Caps" panose="020B0503030403020204" pitchFamily="34" charset="0"/>
            </a:rPr>
            <a:t>რამდენად ხშირად ესწრებით რელიგიურ მსახურებას?</a:t>
          </a:r>
          <a:endParaRPr lang="en-US" sz="1800" b="1" i="0" u="none" strike="noStrike" baseline="0">
            <a:effectLst/>
            <a:latin typeface="BPG SSP Crystal Caps" panose="020B0503030403020204" pitchFamily="34" charset="0"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ვარიანტები ,,ყოველდღე'', ,,უფრო ხშირად, ვიდრე კვირაში ერთხელ'' დაჯგუფდა პასუხთან ,,კვირაში ერთხელ მაინც". 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ვარიანტები ,,არ ვიცი'' და ,,უარი პასუხზე'' დიაგრამაზე ნაჩვენები არ არის.კითხვა დაესვა იმ რესპონდენტებს, რომლებიც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200" b="0" i="0" u="none" strike="noStrike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საკუთარ თავს რომელიმე რელიგიურ ჯგუფს მიაკუთვნებდნენ (თითოეულ ტალღაში დაახლ. 99%)</a:t>
          </a:r>
          <a:endParaRPr lang="ka-GE" sz="1800" b="1" i="0" u="none" strike="noStrike" baseline="0">
            <a:effectLst/>
            <a:latin typeface="BPG SSP Crystal Caps" panose="020B0503030403020204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id="{D6731918-D113-487A-A25E-3B4591E2156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0.5352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id="{EDE685F2-703A-4568-BEEA-B42FC65730B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0.5352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0.00207</cdr:x>
      <cdr:y>0.01569</cdr:y>
    </cdr:from>
    <cdr:to>
      <cdr:x>0.10766</cdr:x>
      <cdr:y>0.1612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884AC5E-38D4-471D-94A7-2ADB1C771234}"/>
            </a:ext>
          </a:extLst>
        </cdr:cNvPr>
        <cdr:cNvSpPr txBox="1"/>
      </cdr:nvSpPr>
      <cdr:spPr>
        <a:xfrm xmlns:a="http://schemas.openxmlformats.org/drawingml/2006/main">
          <a:off x="17929" y="9861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</cdr:x>
      <cdr:y>0.00713</cdr:y>
    </cdr:from>
    <cdr:to>
      <cdr:x>1</cdr:x>
      <cdr:y>0.15264</cdr:y>
    </cdr:to>
    <cdr:sp macro="" textlink="">
      <cdr:nvSpPr>
        <cdr:cNvPr id="4" name="ტექსტური ველი 3">
          <a:extLst xmlns:a="http://schemas.openxmlformats.org/drawingml/2006/main">
            <a:ext uri="{FF2B5EF4-FFF2-40B4-BE49-F238E27FC236}">
              <a16:creationId xmlns:a16="http://schemas.microsoft.com/office/drawing/2014/main" id="{EBFC4151-0879-44F9-BF1D-9D091D21ECED}"/>
            </a:ext>
          </a:extLst>
        </cdr:cNvPr>
        <cdr:cNvSpPr txBox="1"/>
      </cdr:nvSpPr>
      <cdr:spPr>
        <a:xfrm xmlns:a="http://schemas.openxmlformats.org/drawingml/2006/main">
          <a:off x="0" y="44824"/>
          <a:ext cx="8659906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en-US" sz="1800" b="1" i="0" u="none" strike="noStrike" baseline="0">
              <a:effectLst/>
              <a:latin typeface="BPG SSP Crystal Caps" panose="020B0503030403020204" pitchFamily="34" charset="0"/>
            </a:rPr>
            <a:t>რამდენად მნიშვნელოვანია რელიგია თქვენს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en-US" sz="1800" b="1" i="0" u="none" strike="noStrike" baseline="0">
              <a:effectLst/>
              <a:latin typeface="BPG SSP Crystal Caps" panose="020B0503030403020204" pitchFamily="34" charset="0"/>
            </a:rPr>
            <a:t> ყოველდღიურ ცხოვრებაში? 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ვარიანტები ,,არ ვიცი'' და ,,უარი პასუხზე'' დიაგრამაზე ნაჩვენები არ არის. კითხვა დაესვა იმ რესპონდენტებს, რომლებიც </a:t>
          </a:r>
          <a:endParaRPr lang="en-US" sz="1200" b="0" i="0" kern="1200" spc="0" baseline="0">
            <a:solidFill>
              <a:srgbClr val="404040"/>
            </a:solidFill>
            <a:effectLst/>
            <a:latin typeface="BPG SSP Crystal" panose="020B0503030403020204" pitchFamily="34" charset="0"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საკუთარ თავს რომელიმე რელიგიურ ჯგუფს მიაკუთვნებენ (თითოეულ ტალღაში გამოკითხულთა საშუალოდ 99%)</a:t>
          </a:r>
          <a:endParaRPr lang="ka-GE" sz="1200" b="1" i="0" u="none" strike="noStrike" baseline="0">
            <a:effectLst/>
            <a:latin typeface="BPG SSP Crystal Caps" panose="020B0503030403020204" pitchFamily="34" charset="0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id="{3B3A27FE-7DDC-432B-89D9-D98F2184F6E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6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id="{65684FCE-57C0-4EB2-A4BC-7F06621335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0.5352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62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id="{E2E5B60E-4670-406E-AB58-F2686F7E3A7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0.5352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68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id="{B69E6816-7009-4709-B5B0-2B072B717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0.56729</cdr:x>
      <cdr:y>0</cdr:y>
    </cdr:from>
    <cdr:to>
      <cdr:x>0.96584</cdr:x>
      <cdr:y>1</cdr:y>
    </cdr:to>
    <cdr:graphicFrame macro="">
      <cdr:nvGraphicFramePr>
        <cdr:cNvPr id="2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id="{68306A8F-253A-4B9F-A041-4F0C03E57AE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70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id="{F959C05D-1E26-456F-9922-10AEA9A142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0.5352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76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8790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id="{AA64D780-D319-47EE-B4D2-E5A9CBBF21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</cdr:x>
      <cdr:y>0.10414</cdr:y>
    </cdr:from>
    <cdr:to>
      <cdr:x>0.81263</cdr:x>
      <cdr:y>0.89872</cdr:y>
    </cdr:to>
    <cdr:graphicFrame macro="">
      <cdr:nvGraphicFramePr>
        <cdr:cNvPr id="2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id="{ED2B4D65-C3FD-43B9-9A3E-89D8A50B9FA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78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02F496-DABA-4CD4-A96F-390926CB63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9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FA5612-A4A7-408B-A2F0-CEA322D6153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0.02269</cdr:x>
      <cdr:y>0.25221</cdr:y>
    </cdr:from>
    <cdr:to>
      <cdr:x>0.31149</cdr:x>
      <cdr:y>0.25825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93C44FA6-9844-4887-BC72-2CA12293894B}"/>
            </a:ext>
          </a:extLst>
        </cdr:cNvPr>
        <cdr:cNvSpPr txBox="1"/>
      </cdr:nvSpPr>
      <cdr:spPr>
        <a:xfrm xmlns:a="http://schemas.openxmlformats.org/drawingml/2006/main" flipV="1">
          <a:off x="196468" y="1584960"/>
          <a:ext cx="2501011" cy="37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0.39027</cdr:x>
      <cdr:y>0</cdr:y>
    </cdr:from>
    <cdr:to>
      <cdr:x>0.73292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0.56085</cdr:x>
      <cdr:y>0</cdr:y>
    </cdr:from>
    <cdr:to>
      <cdr:x>0.99874</cdr:x>
      <cdr:y>1</cdr:y>
    </cdr:to>
    <cdr:graphicFrame macro="">
      <cdr:nvGraphicFramePr>
        <cdr:cNvPr id="9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C51837A7-069B-4759-BAA2-49D9031FA04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8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id="{A727A192-3A6E-47C4-AA21-6DF652EBA70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4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0D7273-9710-4B65-B4F0-BB69DC4C134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5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id="{79F6206E-BD7D-44BF-B5D9-6994289817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0.61905</cdr:x>
      <cdr:y>0</cdr:y>
    </cdr:from>
    <cdr:to>
      <cdr:x>0.95135</cdr:x>
      <cdr:y>1</cdr:y>
    </cdr:to>
    <cdr:graphicFrame macro="">
      <cdr:nvGraphicFramePr>
        <cdr:cNvPr id="2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E20FF852-C4DE-4943-824A-BE364BAAD5F9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0.34955</cdr:x>
      <cdr:y>0.16928</cdr:y>
    </cdr:from>
    <cdr:to>
      <cdr:x>0.68275</cdr:x>
      <cdr:y>0.21293</cdr:y>
    </cdr:to>
    <cdr:sp macro="" textlink="">
      <cdr:nvSpPr>
        <cdr:cNvPr id="6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2D708195-D5C5-48A6-A41B-33D76F1AB4D5}"/>
            </a:ext>
          </a:extLst>
        </cdr:cNvPr>
        <cdr:cNvSpPr txBox="1"/>
      </cdr:nvSpPr>
      <cdr:spPr>
        <a:xfrm xmlns:a="http://schemas.openxmlformats.org/drawingml/2006/main">
          <a:off x="3027082" y="1063812"/>
          <a:ext cx="2885465" cy="2742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800" b="1">
              <a:solidFill>
                <a:srgbClr val="3F4D71"/>
              </a:solidFill>
              <a:latin typeface="BPG SSP Crystal" panose="020B0503030403020204" pitchFamily="34" charset="0"/>
            </a:rPr>
            <a:t>201</a:t>
          </a:r>
          <a:r>
            <a:rPr lang="en-US" sz="1800" b="1">
              <a:solidFill>
                <a:srgbClr val="3F4D71"/>
              </a:solidFill>
              <a:latin typeface="BPG SSP Crystal" panose="020B0503030403020204" pitchFamily="34" charset="0"/>
            </a:rPr>
            <a:t>9</a:t>
          </a:r>
          <a:endParaRPr lang="ka-GE" sz="1800" b="1">
            <a:solidFill>
              <a:srgbClr val="3F4D71"/>
            </a:solidFill>
            <a:latin typeface="BPG SSP Crystal" panose="020B0503030403020204" pitchFamily="34" charset="0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</cdr:x>
      <cdr:y>0.16928</cdr:y>
    </cdr:from>
    <cdr:to>
      <cdr:x>1</cdr:x>
      <cdr:y>0.21293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FB262F7E-3264-4ECB-AD50-44CC373A874C}"/>
            </a:ext>
          </a:extLst>
        </cdr:cNvPr>
        <cdr:cNvSpPr txBox="1"/>
      </cdr:nvSpPr>
      <cdr:spPr>
        <a:xfrm xmlns:a="http://schemas.openxmlformats.org/drawingml/2006/main">
          <a:off x="0" y="1063811"/>
          <a:ext cx="2877671" cy="2742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800" b="1">
              <a:solidFill>
                <a:srgbClr val="3F4D71"/>
              </a:solidFill>
              <a:latin typeface="BPG SSP Crystal" panose="020B0503030403020204" pitchFamily="34" charset="0"/>
            </a:rPr>
            <a:t>20</a:t>
          </a:r>
          <a:r>
            <a:rPr lang="en-US" sz="1800" b="1">
              <a:solidFill>
                <a:srgbClr val="3F4D71"/>
              </a:solidFill>
              <a:latin typeface="BPG SSP Crystal" panose="020B0503030403020204" pitchFamily="34" charset="0"/>
            </a:rPr>
            <a:t>08</a:t>
          </a:r>
          <a:endParaRPr lang="ka-GE" sz="1800" b="1">
            <a:solidFill>
              <a:srgbClr val="3F4D71"/>
            </a:solidFill>
            <a:latin typeface="BPG SSP Crystal" panose="020B0503030403020204" pitchFamily="34" charset="0"/>
          </a:endParaRPr>
        </a:p>
      </cdr:txBody>
    </cdr:sp>
  </cdr:relSizeAnchor>
</c:userShapes>
</file>

<file path=xl/drawings/drawing88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id="{C92F42E8-39CA-4E54-B43D-CC69420B6A4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</cdr:x>
      <cdr:y>0.36377</cdr:y>
    </cdr:from>
    <cdr:to>
      <cdr:x>1</cdr:x>
      <cdr:y>0.7475</cdr:y>
    </cdr:to>
    <cdr:graphicFrame macro="">
      <cdr:nvGraphicFramePr>
        <cdr:cNvPr id="2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id="{B92FD25C-ABF7-41FE-A9F1-9D512F6001A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0.66904</cdr:y>
    </cdr:from>
    <cdr:to>
      <cdr:x>1</cdr:x>
      <cdr:y>1</cdr:y>
    </cdr:to>
    <cdr:graphicFrame macro="">
      <cdr:nvGraphicFramePr>
        <cdr:cNvPr id="3" name="დიაგრამა 8">
          <a:extLst xmlns:a="http://schemas.openxmlformats.org/drawingml/2006/main">
            <a:ext uri="{FF2B5EF4-FFF2-40B4-BE49-F238E27FC236}">
              <a16:creationId xmlns:a16="http://schemas.microsoft.com/office/drawing/2014/main" id="{68362172-633C-4A04-83F0-57F2656984B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0.03623</cdr:x>
      <cdr:y>0.2078</cdr:y>
    </cdr:from>
    <cdr:to>
      <cdr:x>0.36943</cdr:x>
      <cdr:y>0.25145</cdr:y>
    </cdr:to>
    <cdr:sp macro="" textlink="">
      <cdr:nvSpPr>
        <cdr:cNvPr id="7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B4873C48-65E0-4F1C-85D3-1DFA769D97D7}"/>
            </a:ext>
          </a:extLst>
        </cdr:cNvPr>
        <cdr:cNvSpPr txBox="1"/>
      </cdr:nvSpPr>
      <cdr:spPr>
        <a:xfrm xmlns:a="http://schemas.openxmlformats.org/drawingml/2006/main">
          <a:off x="313765" y="1305859"/>
          <a:ext cx="2885481" cy="2743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ka-GE" sz="1600" b="1">
              <a:solidFill>
                <a:schemeClr val="tx1"/>
              </a:solidFill>
              <a:latin typeface="BPG SSP Crystal" panose="020B0503030403020204" pitchFamily="34" charset="0"/>
            </a:rPr>
            <a:t>უმუშევრობა</a:t>
          </a: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0.03796</cdr:x>
      <cdr:y>0.21437</cdr:y>
    </cdr:from>
    <cdr:to>
      <cdr:x>0.37116</cdr:x>
      <cdr:y>0.32812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22F47732-8FD7-4144-A4B6-DB3A2E8C48BE}"/>
            </a:ext>
          </a:extLst>
        </cdr:cNvPr>
        <cdr:cNvSpPr txBox="1"/>
      </cdr:nvSpPr>
      <cdr:spPr>
        <a:xfrm xmlns:a="http://schemas.openxmlformats.org/drawingml/2006/main">
          <a:off x="328706" y="516965"/>
          <a:ext cx="2885481" cy="2743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ka-GE" sz="1600" b="1">
              <a:solidFill>
                <a:schemeClr val="tx1"/>
              </a:solidFill>
              <a:latin typeface="BPG SSP Crystal" panose="020B0503030403020204" pitchFamily="34" charset="0"/>
            </a:rPr>
            <a:t>სიღარიბე</a:t>
          </a:r>
        </a:p>
      </cdr:txBody>
    </cdr:sp>
  </cdr:relSizeAnchor>
</c:userShapes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0.03692</cdr:x>
      <cdr:y>0.1408</cdr:y>
    </cdr:from>
    <cdr:to>
      <cdr:x>0.37012</cdr:x>
      <cdr:y>0.2727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id="{22F47732-8FD7-4144-A4B6-DB3A2E8C48BE}"/>
            </a:ext>
          </a:extLst>
        </cdr:cNvPr>
        <cdr:cNvSpPr txBox="1"/>
      </cdr:nvSpPr>
      <cdr:spPr>
        <a:xfrm xmlns:a="http://schemas.openxmlformats.org/drawingml/2006/main">
          <a:off x="319741" y="292847"/>
          <a:ext cx="2885481" cy="2743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ka-GE" sz="1600" b="1">
              <a:solidFill>
                <a:schemeClr val="tx1"/>
              </a:solidFill>
              <a:latin typeface="BPG SSP Crystal" panose="020B0503030403020204" pitchFamily="34" charset="0"/>
            </a:rPr>
            <a:t>ტერიტორიული მთლიანობა</a:t>
          </a:r>
        </a:p>
      </cdr:txBody>
    </cdr:sp>
  </cdr:relSizeAnchor>
</c:userShapes>
</file>

<file path=xl/drawings/drawing9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B97C0A-7CE8-4287-B29F-E30CC52077A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0.53648</cdr:x>
      <cdr:y>0.15725</cdr:y>
    </cdr:from>
    <cdr:to>
      <cdr:x>1</cdr:x>
      <cdr:y>0.94349</cdr:y>
    </cdr:to>
    <cdr:graphicFrame macro="">
      <cdr:nvGraphicFramePr>
        <cdr:cNvPr id="3" name="Chart 1">
          <a:extLst xmlns:a="http://schemas.openxmlformats.org/drawingml/2006/main">
            <a:ext uri="{FF2B5EF4-FFF2-40B4-BE49-F238E27FC236}">
              <a16:creationId xmlns:a16="http://schemas.microsoft.com/office/drawing/2014/main" id="{B3610EDD-C67A-4297-AC7D-F9FA51BB09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0.00499</cdr:x>
      <cdr:y>0.92677</cdr:y>
    </cdr:from>
    <cdr:to>
      <cdr:x>1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FC0F9E78-61A4-42F1-B887-3797F13D44CD}"/>
            </a:ext>
          </a:extLst>
        </cdr:cNvPr>
        <cdr:cNvSpPr txBox="1"/>
      </cdr:nvSpPr>
      <cdr:spPr>
        <a:xfrm xmlns:a="http://schemas.openxmlformats.org/drawingml/2006/main">
          <a:off x="43295" y="5844886"/>
          <a:ext cx="8630228" cy="4618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>
            <a:solidFill>
              <a:schemeClr val="tx1">
                <a:lumMod val="75000"/>
                <a:lumOff val="25000"/>
              </a:schemeClr>
            </a:solidFill>
            <a:latin typeface="Lucida Fax" panose="02060602050505020204" pitchFamily="18" charset="0"/>
          </a:endParaRPr>
        </a:p>
      </cdr:txBody>
    </cdr:sp>
  </cdr:relSizeAnchor>
  <cdr:relSizeAnchor xmlns:cdr="http://schemas.openxmlformats.org/drawingml/2006/chartDrawing">
    <cdr:from>
      <cdr:x>0.00305</cdr:x>
      <cdr:y>0.95274</cdr:y>
    </cdr:from>
    <cdr:to>
      <cdr:x>1</cdr:x>
      <cdr:y>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B50F5ED-A152-4045-8217-FAD5708D629B}"/>
            </a:ext>
          </a:extLst>
        </cdr:cNvPr>
        <cdr:cNvSpPr txBox="1"/>
      </cdr:nvSpPr>
      <cdr:spPr>
        <a:xfrm xmlns:a="http://schemas.openxmlformats.org/drawingml/2006/main">
          <a:off x="26437" y="6000750"/>
          <a:ext cx="8641313" cy="2976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latin typeface="Lucida Fax" panose="02060602050505020204" pitchFamily="18" charset="0"/>
            </a:rPr>
            <a:t>*Questions on relations</a:t>
          </a:r>
          <a:r>
            <a:rPr lang="en-US" sz="1100" baseline="0">
              <a:solidFill>
                <a:schemeClr val="tx1">
                  <a:lumMod val="75000"/>
                  <a:lumOff val="25000"/>
                </a:schemeClr>
              </a:solidFill>
              <a:latin typeface="Lucida Fax" panose="02060602050505020204" pitchFamily="18" charset="0"/>
            </a:rPr>
            <a:t> with Indians, Iranians, and Ukrainians were first asked in 2010, and on Arabs in 2017.</a:t>
          </a:r>
          <a:endParaRPr lang="en-US" sz="1100">
            <a:solidFill>
              <a:schemeClr val="tx1">
                <a:lumMod val="75000"/>
                <a:lumOff val="25000"/>
              </a:schemeClr>
            </a:solidFill>
            <a:latin typeface="Lucida Fax" panose="02060602050505020204" pitchFamily="18" charset="0"/>
          </a:endParaRPr>
        </a:p>
      </cdr:txBody>
    </cdr:sp>
  </cdr:relSizeAnchor>
  <cdr:relSizeAnchor xmlns:cdr="http://schemas.openxmlformats.org/drawingml/2006/chartDrawing">
    <cdr:from>
      <cdr:x>0.24889</cdr:x>
      <cdr:y>0.12884</cdr:y>
    </cdr:from>
    <cdr:to>
      <cdr:x>0.35302</cdr:x>
      <cdr:y>0.16635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002EB8-641F-4A21-A892-98B39A75F5D9}"/>
            </a:ext>
          </a:extLst>
        </cdr:cNvPr>
        <cdr:cNvSpPr txBox="1"/>
      </cdr:nvSpPr>
      <cdr:spPr>
        <a:xfrm xmlns:a="http://schemas.openxmlformats.org/drawingml/2006/main">
          <a:off x="2157344" y="811482"/>
          <a:ext cx="902562" cy="2362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>
              <a:latin typeface="Lucida Fax" panose="02060602050505020204" pitchFamily="18" charset="0"/>
            </a:rPr>
            <a:t>2019</a:t>
          </a:r>
        </a:p>
      </cdr:txBody>
    </cdr:sp>
  </cdr:relSizeAnchor>
  <cdr:relSizeAnchor xmlns:cdr="http://schemas.openxmlformats.org/drawingml/2006/chartDrawing">
    <cdr:from>
      <cdr:x>0.72655</cdr:x>
      <cdr:y>0.12743</cdr:y>
    </cdr:from>
    <cdr:to>
      <cdr:x>0.8283</cdr:x>
      <cdr:y>0.16257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E8BBA08-A111-4257-AB31-572BCB32ED6F}"/>
            </a:ext>
          </a:extLst>
        </cdr:cNvPr>
        <cdr:cNvSpPr txBox="1"/>
      </cdr:nvSpPr>
      <cdr:spPr>
        <a:xfrm xmlns:a="http://schemas.openxmlformats.org/drawingml/2006/main">
          <a:off x="6297532" y="802611"/>
          <a:ext cx="881937" cy="2213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latin typeface="Lucida Fax" panose="02060602050505020204" pitchFamily="18" charset="0"/>
            </a:rPr>
            <a:t>2009</a:t>
          </a:r>
        </a:p>
      </cdr:txBody>
    </cdr:sp>
  </cdr:relSizeAnchor>
</c:userShapes>
</file>

<file path=xl/drawings/drawing9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464519-EC74-4092-B0D4-0829102399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0.55383</cdr:x>
      <cdr:y>0.14745</cdr:y>
    </cdr:from>
    <cdr:to>
      <cdr:x>1</cdr:x>
      <cdr:y>0.93402</cdr:y>
    </cdr:to>
    <cdr:graphicFrame macro="">
      <cdr:nvGraphicFramePr>
        <cdr:cNvPr id="3" name="Chart 1">
          <a:extLst xmlns:a="http://schemas.openxmlformats.org/drawingml/2006/main">
            <a:ext uri="{FF2B5EF4-FFF2-40B4-BE49-F238E27FC236}">
              <a16:creationId xmlns:a16="http://schemas.microsoft.com/office/drawing/2014/main" id="{B3610EDD-C67A-4297-AC7D-F9FA51BB09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0.00499</cdr:x>
      <cdr:y>0.92677</cdr:y>
    </cdr:from>
    <cdr:to>
      <cdr:x>1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FC0F9E78-61A4-42F1-B887-3797F13D44CD}"/>
            </a:ext>
          </a:extLst>
        </cdr:cNvPr>
        <cdr:cNvSpPr txBox="1"/>
      </cdr:nvSpPr>
      <cdr:spPr>
        <a:xfrm xmlns:a="http://schemas.openxmlformats.org/drawingml/2006/main">
          <a:off x="43295" y="5844886"/>
          <a:ext cx="8630228" cy="4618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>
            <a:solidFill>
              <a:schemeClr val="tx1">
                <a:lumMod val="75000"/>
                <a:lumOff val="25000"/>
              </a:schemeClr>
            </a:solidFill>
            <a:latin typeface="Lucida Fax" panose="02060602050505020204" pitchFamily="18" charset="0"/>
          </a:endParaRPr>
        </a:p>
      </cdr:txBody>
    </cdr:sp>
  </cdr:relSizeAnchor>
  <cdr:relSizeAnchor xmlns:cdr="http://schemas.openxmlformats.org/drawingml/2006/chartDrawing">
    <cdr:from>
      <cdr:x>0.00305</cdr:x>
      <cdr:y>0.95463</cdr:y>
    </cdr:from>
    <cdr:to>
      <cdr:x>1</cdr:x>
      <cdr:y>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DD333A9-5F7B-4A52-92AB-096C62FA05DF}"/>
            </a:ext>
          </a:extLst>
        </cdr:cNvPr>
        <cdr:cNvSpPr txBox="1"/>
      </cdr:nvSpPr>
      <cdr:spPr>
        <a:xfrm xmlns:a="http://schemas.openxmlformats.org/drawingml/2006/main">
          <a:off x="26437" y="6012656"/>
          <a:ext cx="8641313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latin typeface="Lucida Fax" panose="02060602050505020204" pitchFamily="18" charset="0"/>
            </a:rPr>
            <a:t>*Questions on relations</a:t>
          </a:r>
          <a:r>
            <a:rPr lang="en-US" sz="1100" baseline="0">
              <a:solidFill>
                <a:schemeClr val="tx1">
                  <a:lumMod val="75000"/>
                  <a:lumOff val="25000"/>
                </a:schemeClr>
              </a:solidFill>
              <a:latin typeface="Lucida Fax" panose="02060602050505020204" pitchFamily="18" charset="0"/>
            </a:rPr>
            <a:t> with Indians, Iranians, and Ukrainians were first asked in 2010, and on Arabs in 2017.</a:t>
          </a:r>
          <a:endParaRPr lang="en-US" sz="1100">
            <a:solidFill>
              <a:schemeClr val="tx1">
                <a:lumMod val="75000"/>
                <a:lumOff val="25000"/>
              </a:schemeClr>
            </a:solidFill>
            <a:latin typeface="Lucida Fax" panose="02060602050505020204" pitchFamily="18" charset="0"/>
          </a:endParaRPr>
        </a:p>
      </cdr:txBody>
    </cdr:sp>
  </cdr:relSizeAnchor>
  <cdr:relSizeAnchor xmlns:cdr="http://schemas.openxmlformats.org/drawingml/2006/chartDrawing">
    <cdr:from>
      <cdr:x>0.2534</cdr:x>
      <cdr:y>0.13264</cdr:y>
    </cdr:from>
    <cdr:to>
      <cdr:x>0.34615</cdr:x>
      <cdr:y>0.18051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6D4EF38E-F18E-4B59-9AB5-43995CCC6772}"/>
            </a:ext>
          </a:extLst>
        </cdr:cNvPr>
        <cdr:cNvSpPr txBox="1"/>
      </cdr:nvSpPr>
      <cdr:spPr>
        <a:xfrm xmlns:a="http://schemas.openxmlformats.org/drawingml/2006/main">
          <a:off x="2196395" y="835412"/>
          <a:ext cx="803979" cy="301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latin typeface="Lucida Fax" panose="02060602050505020204" pitchFamily="18" charset="0"/>
            </a:rPr>
            <a:t>2019</a:t>
          </a:r>
        </a:p>
      </cdr:txBody>
    </cdr:sp>
  </cdr:relSizeAnchor>
  <cdr:relSizeAnchor xmlns:cdr="http://schemas.openxmlformats.org/drawingml/2006/chartDrawing">
    <cdr:from>
      <cdr:x>0.70869</cdr:x>
      <cdr:y>0.12665</cdr:y>
    </cdr:from>
    <cdr:to>
      <cdr:x>0.8283</cdr:x>
      <cdr:y>0.16446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30B8972E-C356-4500-A938-9278E4413995}"/>
            </a:ext>
          </a:extLst>
        </cdr:cNvPr>
        <cdr:cNvSpPr txBox="1"/>
      </cdr:nvSpPr>
      <cdr:spPr>
        <a:xfrm xmlns:a="http://schemas.openxmlformats.org/drawingml/2006/main">
          <a:off x="6142768" y="797719"/>
          <a:ext cx="1036701" cy="2381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latin typeface="Lucida Fax" panose="02060602050505020204" pitchFamily="18" charset="0"/>
            </a:rPr>
            <a:t>2009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sm\OneDrive%20-%20Microsoft%20(1)\Templates\Designer%20tools\Excel%20Template%20Master%2005_29_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projects/CRRC/Caucasus%20Barometer/2019/analysis/charts/CB_templat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author"/>
      <sheetName val="Start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Learn more"/>
      <sheetName val="Visuals"/>
      <sheetName val="WalkMe"/>
      <sheetName val="Review"/>
      <sheetName val="Practice"/>
      <sheetName val="Accessibility"/>
      <sheetName val="Font &amp; Shapes"/>
      <sheetName val="Sample data"/>
      <sheetName val="Excel Template Master 05_29_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iables"/>
      <sheetName val="T1"/>
      <sheetName val="T2"/>
      <sheetName val="T3"/>
      <sheetName val="T4"/>
      <sheetName val="T5"/>
      <sheetName val="T6"/>
      <sheetName val="T7"/>
      <sheetName val="T8"/>
      <sheetName val="T9"/>
      <sheetName val="sourc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C2">
            <v>2008</v>
          </cell>
        </row>
        <row r="71">
          <cell r="E71" t="str">
            <v>საქართველოს სასამართლოები ერთნაირად არ ეპყრობა ყველა მოქალაქეს, ზოგს უპირატესობას ანიჭებს, ზოგს - არა</v>
          </cell>
          <cell r="F71" t="str">
            <v>საქართველოს სასამართლოები ერთნაირად არ ეპყრობა ყველა მოქალაქეს, ზოგს უპირატესობას ანიჭებს, ზოგს - არა</v>
          </cell>
          <cell r="G71" t="str">
            <v>საქართველოს სასამართლოები ყველა მოქალაქეს ერთნაირად ეპყრობა და არავის ანიჭებს უპირატესობას</v>
          </cell>
          <cell r="H71" t="str">
            <v>საქართველოს სასამართლოები ყველა მოქალაქეს ერთნაირად ეპყრობა და არავის ანიჭებს უპირატესობას</v>
          </cell>
        </row>
        <row r="72">
          <cell r="D72">
            <v>2009</v>
          </cell>
          <cell r="E72">
            <v>-33.450000000000003</v>
          </cell>
          <cell r="F72">
            <v>-21.28</v>
          </cell>
          <cell r="G72">
            <v>10.99</v>
          </cell>
          <cell r="H72">
            <v>2.4300000000000002</v>
          </cell>
        </row>
        <row r="73">
          <cell r="D73">
            <v>2010</v>
          </cell>
          <cell r="E73">
            <v>-26.81</v>
          </cell>
          <cell r="F73">
            <v>-19.72</v>
          </cell>
          <cell r="G73">
            <v>17.96</v>
          </cell>
          <cell r="H73">
            <v>3.16</v>
          </cell>
        </row>
        <row r="74">
          <cell r="D74">
            <v>2011</v>
          </cell>
          <cell r="E74">
            <v>-20.09</v>
          </cell>
          <cell r="F74">
            <v>-17.23</v>
          </cell>
          <cell r="G74">
            <v>18.73</v>
          </cell>
          <cell r="H74">
            <v>3.89</v>
          </cell>
        </row>
        <row r="75">
          <cell r="D75">
            <v>2012</v>
          </cell>
          <cell r="E75">
            <v>-30.69</v>
          </cell>
          <cell r="F75">
            <v>-22.67</v>
          </cell>
          <cell r="G75">
            <v>10.039999999999999</v>
          </cell>
          <cell r="H75">
            <v>2.87</v>
          </cell>
        </row>
        <row r="76">
          <cell r="D76">
            <v>2013</v>
          </cell>
          <cell r="E76">
            <v>-26.13</v>
          </cell>
          <cell r="F76">
            <v>-18.440000000000001</v>
          </cell>
          <cell r="G76">
            <v>19.989999999999998</v>
          </cell>
          <cell r="H76">
            <v>2.29</v>
          </cell>
        </row>
        <row r="77">
          <cell r="D77">
            <v>2015</v>
          </cell>
          <cell r="E77">
            <v>-27.7</v>
          </cell>
          <cell r="F77">
            <v>-25.21</v>
          </cell>
          <cell r="G77">
            <v>13.33</v>
          </cell>
          <cell r="H77">
            <v>9.2799999999999994</v>
          </cell>
        </row>
        <row r="78">
          <cell r="D78">
            <v>2017</v>
          </cell>
          <cell r="E78">
            <v>-26.41</v>
          </cell>
          <cell r="F78">
            <v>-31.22</v>
          </cell>
          <cell r="G78">
            <v>14.13</v>
          </cell>
          <cell r="H78">
            <v>7.91</v>
          </cell>
        </row>
        <row r="79">
          <cell r="D79">
            <v>2019</v>
          </cell>
          <cell r="E79">
            <v>-30.03</v>
          </cell>
          <cell r="F79">
            <v>-33.08</v>
          </cell>
          <cell r="G79">
            <v>11.12</v>
          </cell>
          <cell r="H79">
            <v>7.22</v>
          </cell>
        </row>
        <row r="93">
          <cell r="E93">
            <v>2010</v>
          </cell>
          <cell r="F93">
            <v>2013</v>
          </cell>
          <cell r="G93">
            <v>2015</v>
          </cell>
        </row>
        <row r="94">
          <cell r="D94" t="str">
            <v>ასაკი</v>
          </cell>
          <cell r="E94">
            <v>6.64</v>
          </cell>
          <cell r="F94">
            <v>3.2099999999999995</v>
          </cell>
          <cell r="G94">
            <v>3.11</v>
          </cell>
        </row>
        <row r="95">
          <cell r="D95" t="str">
            <v>გარეგნობა</v>
          </cell>
          <cell r="E95">
            <v>0.86</v>
          </cell>
          <cell r="F95">
            <v>0.86999999999999988</v>
          </cell>
          <cell r="G95">
            <v>0.91999999999999993</v>
          </cell>
        </row>
        <row r="96">
          <cell r="D96" t="str">
            <v>ნაცნობობა</v>
          </cell>
          <cell r="E96">
            <v>25.2</v>
          </cell>
          <cell r="F96">
            <v>30.17</v>
          </cell>
          <cell r="G96">
            <v>31.46</v>
          </cell>
        </row>
        <row r="97">
          <cell r="D97" t="str">
            <v>გამართლება</v>
          </cell>
          <cell r="E97">
            <v>10.209999999999999</v>
          </cell>
          <cell r="F97">
            <v>8.83</v>
          </cell>
          <cell r="G97">
            <v>6.0600000000000005</v>
          </cell>
        </row>
        <row r="98">
          <cell r="D98" t="str">
            <v>საჭირო ხალხის პატივისცემა</v>
          </cell>
          <cell r="E98">
            <v>2.46</v>
          </cell>
          <cell r="F98">
            <v>2.81</v>
          </cell>
          <cell r="G98">
            <v>3.1</v>
          </cell>
        </row>
        <row r="112">
          <cell r="D112" t="str">
            <v>კრიმინალებს</v>
          </cell>
        </row>
        <row r="113">
          <cell r="D113" t="str">
            <v xml:space="preserve">ნარკომანებს </v>
          </cell>
        </row>
        <row r="114">
          <cell r="D114" t="str">
            <v>ჰომოსექსუალებს</v>
          </cell>
        </row>
        <row r="115">
          <cell r="D115" t="str">
            <v xml:space="preserve">თქვენგან განსხვავებული რელიგიის მიმდევრებს </v>
          </cell>
        </row>
        <row r="116">
          <cell r="D116" t="str">
            <v>შავკანიანებს</v>
          </cell>
        </row>
        <row r="117">
          <cell r="D117" t="str">
            <v>უცხოელებს აზიის ქვეყნებიდან</v>
          </cell>
        </row>
        <row r="118">
          <cell r="D118" t="str">
            <v>განსხვავებული პოლიტიკური შეხედულებების მქონეს</v>
          </cell>
        </row>
        <row r="119">
          <cell r="D119" t="str">
            <v>უცხოელებს ევროპის ქვეყნებიდან</v>
          </cell>
        </row>
        <row r="120">
          <cell r="D120" t="str">
            <v>სხვა</v>
          </cell>
        </row>
        <row r="121">
          <cell r="D121" t="str">
            <v>ამ ჯგუფებიდან არცერთს</v>
          </cell>
        </row>
        <row r="122">
          <cell r="D122" t="str">
            <v>არ ვიცი</v>
          </cell>
        </row>
        <row r="123">
          <cell r="D123" t="str">
            <v>უარი პასუხზე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B1:R38"/>
  <sheetViews>
    <sheetView tabSelected="1" workbookViewId="0">
      <selection activeCell="K31" sqref="K31"/>
    </sheetView>
  </sheetViews>
  <sheetFormatPr defaultRowHeight="15" x14ac:dyDescent="0.25"/>
  <cols>
    <col min="7" max="7" width="9.140625" style="74"/>
    <col min="11" max="11" width="9.140625" style="74"/>
  </cols>
  <sheetData>
    <row r="1" spans="2:18" x14ac:dyDescent="0.25">
      <c r="F1" s="74"/>
    </row>
    <row r="2" spans="2:18" x14ac:dyDescent="0.25">
      <c r="F2" s="74" t="s">
        <v>73</v>
      </c>
      <c r="J2" t="s">
        <v>74</v>
      </c>
    </row>
    <row r="3" spans="2:18" x14ac:dyDescent="0.25">
      <c r="B3" s="1"/>
      <c r="C3" s="1"/>
      <c r="F3" s="71"/>
      <c r="G3" s="71" t="s">
        <v>3</v>
      </c>
      <c r="H3" s="3" t="s">
        <v>2</v>
      </c>
      <c r="I3" s="3"/>
      <c r="J3" s="71" t="s">
        <v>3</v>
      </c>
      <c r="K3" s="3" t="s">
        <v>2</v>
      </c>
      <c r="O3" s="28"/>
      <c r="P3" s="28"/>
      <c r="Q3" s="28"/>
      <c r="R3" s="70"/>
    </row>
    <row r="4" spans="2:18" x14ac:dyDescent="0.25">
      <c r="B4" s="1"/>
      <c r="C4" s="28"/>
      <c r="F4" s="71" t="s">
        <v>0</v>
      </c>
      <c r="G4" s="71">
        <v>98</v>
      </c>
      <c r="H4" s="3">
        <v>75</v>
      </c>
      <c r="I4" s="3" t="s">
        <v>0</v>
      </c>
      <c r="J4" s="71">
        <v>91</v>
      </c>
      <c r="K4" s="27">
        <v>34</v>
      </c>
      <c r="O4" s="4"/>
      <c r="P4" s="67"/>
      <c r="Q4" s="67"/>
      <c r="R4" s="70"/>
    </row>
    <row r="5" spans="2:18" x14ac:dyDescent="0.25">
      <c r="B5" s="4"/>
      <c r="C5" s="67"/>
      <c r="F5" s="68" t="s">
        <v>62</v>
      </c>
      <c r="G5" s="73">
        <v>84</v>
      </c>
      <c r="H5" s="27">
        <v>72</v>
      </c>
      <c r="I5" s="68" t="s">
        <v>62</v>
      </c>
      <c r="J5" s="73">
        <v>54</v>
      </c>
      <c r="K5" s="27">
        <v>34</v>
      </c>
      <c r="O5" s="4"/>
      <c r="P5" s="67"/>
      <c r="Q5" s="67"/>
      <c r="R5" s="70"/>
    </row>
    <row r="6" spans="2:18" x14ac:dyDescent="0.25">
      <c r="B6" s="4"/>
      <c r="C6" s="67"/>
      <c r="F6" s="68" t="s">
        <v>1</v>
      </c>
      <c r="G6" s="73">
        <v>78</v>
      </c>
      <c r="H6" s="27">
        <v>87</v>
      </c>
      <c r="I6" s="68" t="s">
        <v>1</v>
      </c>
      <c r="J6" s="73">
        <v>49</v>
      </c>
      <c r="K6" s="27">
        <v>45</v>
      </c>
      <c r="O6" s="4"/>
      <c r="P6" s="67"/>
      <c r="Q6" s="67"/>
      <c r="R6" s="70"/>
    </row>
    <row r="7" spans="2:18" x14ac:dyDescent="0.25">
      <c r="B7" s="4"/>
      <c r="C7" s="67"/>
      <c r="F7" s="68" t="s">
        <v>63</v>
      </c>
      <c r="G7" s="73">
        <v>78</v>
      </c>
      <c r="H7" s="27">
        <v>78</v>
      </c>
      <c r="I7" s="68" t="s">
        <v>63</v>
      </c>
      <c r="J7" s="73">
        <v>47</v>
      </c>
      <c r="K7" s="27">
        <v>41</v>
      </c>
      <c r="O7" s="4"/>
      <c r="P7" s="67"/>
      <c r="Q7" s="67"/>
      <c r="R7" s="70"/>
    </row>
    <row r="8" spans="2:18" x14ac:dyDescent="0.25">
      <c r="B8" s="1"/>
      <c r="C8" s="67"/>
      <c r="F8" s="68" t="s">
        <v>64</v>
      </c>
      <c r="G8" s="73">
        <v>78</v>
      </c>
      <c r="H8" s="27">
        <v>79</v>
      </c>
      <c r="I8" s="2" t="s">
        <v>64</v>
      </c>
      <c r="J8" s="73">
        <v>45</v>
      </c>
      <c r="K8" s="27">
        <v>40</v>
      </c>
      <c r="O8" s="28"/>
      <c r="P8" s="67"/>
      <c r="Q8" s="67"/>
      <c r="R8" s="70"/>
    </row>
    <row r="9" spans="2:18" x14ac:dyDescent="0.25">
      <c r="B9" s="1"/>
      <c r="C9" s="67"/>
      <c r="F9" s="68" t="s">
        <v>72</v>
      </c>
      <c r="G9" s="73">
        <v>65</v>
      </c>
      <c r="H9" s="3">
        <v>96</v>
      </c>
      <c r="I9" s="2" t="s">
        <v>72</v>
      </c>
      <c r="J9" s="73">
        <v>37</v>
      </c>
      <c r="K9" s="3">
        <v>98</v>
      </c>
      <c r="O9" s="4"/>
      <c r="P9" s="67"/>
      <c r="Q9" s="67"/>
      <c r="R9" s="70"/>
    </row>
    <row r="10" spans="2:18" x14ac:dyDescent="0.25">
      <c r="B10" s="1"/>
      <c r="C10" s="67"/>
      <c r="F10" s="68" t="s">
        <v>68</v>
      </c>
      <c r="G10" s="73">
        <v>73</v>
      </c>
      <c r="H10" s="27">
        <v>14</v>
      </c>
      <c r="I10" s="2" t="s">
        <v>68</v>
      </c>
      <c r="J10" s="73">
        <v>37</v>
      </c>
      <c r="K10" s="27">
        <v>4</v>
      </c>
      <c r="O10" s="4"/>
      <c r="P10" s="67"/>
      <c r="Q10" s="67"/>
      <c r="R10" s="70"/>
    </row>
    <row r="11" spans="2:18" x14ac:dyDescent="0.25">
      <c r="B11" s="4"/>
      <c r="C11" s="67"/>
      <c r="F11" s="68" t="s">
        <v>69</v>
      </c>
      <c r="G11" s="73">
        <v>71</v>
      </c>
      <c r="H11" s="27">
        <v>62</v>
      </c>
      <c r="I11" s="68" t="s">
        <v>69</v>
      </c>
      <c r="J11" s="73">
        <v>36</v>
      </c>
      <c r="K11" s="27">
        <v>23</v>
      </c>
      <c r="O11" s="4"/>
      <c r="P11" s="67"/>
      <c r="Q11" s="67"/>
      <c r="R11" s="70"/>
    </row>
    <row r="12" spans="2:18" x14ac:dyDescent="0.25">
      <c r="B12" s="4"/>
      <c r="C12" s="67"/>
      <c r="F12" s="68" t="s">
        <v>70</v>
      </c>
      <c r="G12" s="73">
        <v>64</v>
      </c>
      <c r="H12" s="27">
        <v>26</v>
      </c>
      <c r="I12" s="68" t="s">
        <v>70</v>
      </c>
      <c r="J12" s="73">
        <v>30</v>
      </c>
      <c r="K12" s="27">
        <v>5</v>
      </c>
      <c r="O12" s="28"/>
      <c r="P12" s="67"/>
      <c r="Q12" s="67"/>
      <c r="R12" s="70"/>
    </row>
    <row r="13" spans="2:18" x14ac:dyDescent="0.25">
      <c r="B13" s="4"/>
      <c r="C13" s="67"/>
      <c r="F13" s="68" t="s">
        <v>71</v>
      </c>
      <c r="G13" s="73">
        <v>60</v>
      </c>
      <c r="H13" s="27">
        <v>62</v>
      </c>
      <c r="I13" s="68" t="s">
        <v>71</v>
      </c>
      <c r="J13" s="73">
        <v>26</v>
      </c>
      <c r="K13" s="27">
        <v>14</v>
      </c>
      <c r="O13" s="28"/>
      <c r="P13" s="67"/>
      <c r="Q13" s="67"/>
      <c r="R13" s="70"/>
    </row>
    <row r="14" spans="2:18" x14ac:dyDescent="0.25">
      <c r="B14" s="4"/>
      <c r="C14" s="67"/>
      <c r="F14" s="68" t="s">
        <v>65</v>
      </c>
      <c r="G14" s="69">
        <v>57</v>
      </c>
      <c r="H14" s="27">
        <v>64</v>
      </c>
      <c r="I14" s="68" t="s">
        <v>65</v>
      </c>
      <c r="J14" s="73">
        <v>26</v>
      </c>
      <c r="K14" s="27">
        <v>18</v>
      </c>
      <c r="O14" s="4"/>
      <c r="P14" s="67"/>
      <c r="Q14" s="67"/>
      <c r="R14" s="70"/>
    </row>
    <row r="15" spans="2:18" x14ac:dyDescent="0.25">
      <c r="B15" s="4"/>
      <c r="C15" s="67"/>
      <c r="F15" s="68" t="s">
        <v>66</v>
      </c>
      <c r="G15" s="73">
        <v>57</v>
      </c>
      <c r="H15" s="27">
        <v>59</v>
      </c>
      <c r="I15" s="68" t="s">
        <v>66</v>
      </c>
      <c r="J15" s="73">
        <v>26</v>
      </c>
      <c r="K15" s="27">
        <v>13</v>
      </c>
      <c r="O15" s="4"/>
      <c r="P15" s="67"/>
      <c r="Q15" s="67"/>
      <c r="R15" s="70"/>
    </row>
    <row r="16" spans="2:18" x14ac:dyDescent="0.25">
      <c r="B16" s="4"/>
      <c r="C16" s="67"/>
      <c r="F16" s="68" t="s">
        <v>67</v>
      </c>
      <c r="G16" s="69">
        <v>57</v>
      </c>
      <c r="H16" s="27">
        <v>64</v>
      </c>
      <c r="I16" s="68" t="s">
        <v>67</v>
      </c>
      <c r="J16" s="73">
        <v>25</v>
      </c>
      <c r="K16" s="27">
        <v>14</v>
      </c>
      <c r="O16" s="4"/>
      <c r="P16" s="67"/>
      <c r="Q16" s="67"/>
      <c r="R16" s="70"/>
    </row>
    <row r="17" spans="3:18" x14ac:dyDescent="0.25">
      <c r="C17" s="70"/>
      <c r="F17" s="74"/>
      <c r="O17" s="4"/>
      <c r="P17" s="67"/>
      <c r="Q17" s="67"/>
      <c r="R17" s="70"/>
    </row>
    <row r="18" spans="3:18" x14ac:dyDescent="0.25">
      <c r="C18" s="70"/>
      <c r="F18" s="74"/>
      <c r="O18" s="4"/>
      <c r="P18" s="67"/>
      <c r="Q18" s="67"/>
      <c r="R18" s="70"/>
    </row>
    <row r="19" spans="3:18" x14ac:dyDescent="0.25">
      <c r="F19" s="74" t="s">
        <v>75</v>
      </c>
      <c r="J19" t="s">
        <v>76</v>
      </c>
      <c r="O19" s="4"/>
      <c r="P19" s="67"/>
      <c r="Q19" s="67"/>
      <c r="R19" s="70"/>
    </row>
    <row r="20" spans="3:18" x14ac:dyDescent="0.25">
      <c r="F20" s="3"/>
      <c r="G20" s="71" t="s">
        <v>3</v>
      </c>
      <c r="H20" s="71" t="s">
        <v>2</v>
      </c>
      <c r="I20" s="74"/>
      <c r="J20" s="71"/>
      <c r="K20" s="71" t="s">
        <v>3</v>
      </c>
      <c r="L20" s="71" t="s">
        <v>2</v>
      </c>
      <c r="O20" s="4"/>
      <c r="P20" s="67"/>
      <c r="Q20" s="67"/>
      <c r="R20" s="70"/>
    </row>
    <row r="21" spans="3:18" x14ac:dyDescent="0.25">
      <c r="F21" s="3" t="s">
        <v>0</v>
      </c>
      <c r="G21" s="71">
        <v>98</v>
      </c>
      <c r="H21" s="73">
        <v>66</v>
      </c>
      <c r="I21" s="74"/>
      <c r="J21" s="71" t="s">
        <v>0</v>
      </c>
      <c r="K21" s="71">
        <v>91</v>
      </c>
      <c r="L21" s="73">
        <v>33</v>
      </c>
      <c r="O21" s="4"/>
      <c r="P21" s="67"/>
      <c r="Q21" s="67"/>
      <c r="R21" s="70"/>
    </row>
    <row r="22" spans="3:18" x14ac:dyDescent="0.25">
      <c r="F22" s="68" t="s">
        <v>62</v>
      </c>
      <c r="G22" s="72">
        <v>84</v>
      </c>
      <c r="H22" s="73">
        <v>81</v>
      </c>
      <c r="I22" s="74"/>
      <c r="J22" s="68" t="s">
        <v>62</v>
      </c>
      <c r="K22" s="73">
        <v>47</v>
      </c>
      <c r="L22" s="73">
        <v>40</v>
      </c>
      <c r="O22" s="4"/>
      <c r="P22" s="67"/>
      <c r="Q22" s="67"/>
      <c r="R22" s="70"/>
    </row>
    <row r="23" spans="3:18" x14ac:dyDescent="0.25">
      <c r="F23" s="68" t="s">
        <v>1</v>
      </c>
      <c r="G23" s="72">
        <v>81</v>
      </c>
      <c r="H23" s="73">
        <v>93</v>
      </c>
      <c r="I23" s="74"/>
      <c r="J23" s="68" t="s">
        <v>1</v>
      </c>
      <c r="K23" s="73">
        <v>42</v>
      </c>
      <c r="L23" s="73">
        <v>54</v>
      </c>
      <c r="O23" s="4"/>
      <c r="P23" s="67"/>
      <c r="Q23" s="67"/>
      <c r="R23" s="70"/>
    </row>
    <row r="24" spans="3:18" x14ac:dyDescent="0.25">
      <c r="F24" s="68" t="s">
        <v>63</v>
      </c>
      <c r="G24" s="72">
        <v>89</v>
      </c>
      <c r="H24" s="73">
        <v>81</v>
      </c>
      <c r="I24" s="74"/>
      <c r="J24" s="68" t="s">
        <v>63</v>
      </c>
      <c r="K24" s="73">
        <v>46</v>
      </c>
      <c r="L24" s="73">
        <v>44</v>
      </c>
      <c r="O24" s="28"/>
      <c r="P24" s="67"/>
      <c r="Q24" s="67"/>
      <c r="R24" s="70"/>
    </row>
    <row r="25" spans="3:18" x14ac:dyDescent="0.25">
      <c r="F25" s="2" t="s">
        <v>64</v>
      </c>
      <c r="G25" s="72">
        <v>89</v>
      </c>
      <c r="H25" s="73">
        <v>84</v>
      </c>
      <c r="I25" s="74"/>
      <c r="J25" s="68" t="s">
        <v>64</v>
      </c>
      <c r="K25" s="73">
        <v>43</v>
      </c>
      <c r="L25" s="73">
        <v>45</v>
      </c>
      <c r="O25" s="4"/>
      <c r="P25" s="67"/>
      <c r="Q25" s="67"/>
      <c r="R25" s="70"/>
    </row>
    <row r="26" spans="3:18" x14ac:dyDescent="0.25">
      <c r="F26" s="2" t="s">
        <v>72</v>
      </c>
      <c r="G26" s="72">
        <v>80</v>
      </c>
      <c r="H26" s="71">
        <v>92</v>
      </c>
      <c r="I26" s="74"/>
      <c r="J26" s="68" t="s">
        <v>72</v>
      </c>
      <c r="K26" s="73">
        <v>34</v>
      </c>
      <c r="L26" s="71">
        <v>98</v>
      </c>
      <c r="O26" s="4"/>
      <c r="P26" s="67"/>
      <c r="Q26" s="67"/>
      <c r="R26" s="70"/>
    </row>
    <row r="27" spans="3:18" x14ac:dyDescent="0.25">
      <c r="F27" s="2" t="s">
        <v>68</v>
      </c>
      <c r="G27" s="72">
        <v>83</v>
      </c>
      <c r="H27" s="73">
        <v>35</v>
      </c>
      <c r="I27" s="74"/>
      <c r="J27" s="68" t="s">
        <v>68</v>
      </c>
      <c r="K27" s="73">
        <v>25</v>
      </c>
      <c r="L27" s="73">
        <v>8</v>
      </c>
      <c r="O27" s="4"/>
      <c r="P27" s="67"/>
      <c r="Q27" s="67"/>
      <c r="R27" s="70"/>
    </row>
    <row r="28" spans="3:18" x14ac:dyDescent="0.25">
      <c r="F28" s="68" t="s">
        <v>69</v>
      </c>
      <c r="G28" s="72">
        <v>84</v>
      </c>
      <c r="H28" s="73">
        <v>70</v>
      </c>
      <c r="I28" s="74"/>
      <c r="J28" s="68" t="s">
        <v>69</v>
      </c>
      <c r="K28" s="73">
        <v>32</v>
      </c>
      <c r="L28" s="73">
        <v>36</v>
      </c>
      <c r="O28" s="28"/>
      <c r="P28" s="67"/>
      <c r="Q28" s="67"/>
      <c r="R28" s="70"/>
    </row>
    <row r="29" spans="3:18" x14ac:dyDescent="0.25">
      <c r="F29" s="68" t="s">
        <v>70</v>
      </c>
      <c r="G29" s="72">
        <v>80</v>
      </c>
      <c r="H29" s="73">
        <v>42</v>
      </c>
      <c r="I29" s="74"/>
      <c r="J29" s="68" t="s">
        <v>70</v>
      </c>
      <c r="K29" s="73">
        <v>19</v>
      </c>
      <c r="L29" s="73">
        <v>9</v>
      </c>
      <c r="O29" s="28"/>
      <c r="P29" s="67"/>
      <c r="Q29" s="67"/>
      <c r="R29" s="70"/>
    </row>
    <row r="30" spans="3:18" x14ac:dyDescent="0.25">
      <c r="F30" s="68" t="s">
        <v>71</v>
      </c>
      <c r="G30" s="72">
        <v>75</v>
      </c>
      <c r="H30" s="73">
        <v>57</v>
      </c>
      <c r="I30" s="74"/>
      <c r="J30" s="68" t="s">
        <v>71</v>
      </c>
      <c r="K30" s="73">
        <v>19</v>
      </c>
      <c r="L30" s="73">
        <v>18</v>
      </c>
      <c r="O30" s="4"/>
      <c r="P30" s="67"/>
      <c r="Q30" s="67"/>
      <c r="R30" s="70"/>
    </row>
    <row r="31" spans="3:18" x14ac:dyDescent="0.25">
      <c r="F31" s="68" t="s">
        <v>65</v>
      </c>
      <c r="G31" s="72">
        <v>65</v>
      </c>
      <c r="H31" s="73">
        <v>68</v>
      </c>
      <c r="I31" s="74"/>
      <c r="J31" s="68" t="s">
        <v>65</v>
      </c>
      <c r="K31" s="73">
        <v>19</v>
      </c>
      <c r="L31" s="73">
        <v>23</v>
      </c>
      <c r="O31" s="4"/>
      <c r="P31" s="67"/>
      <c r="Q31" s="67"/>
      <c r="R31" s="70"/>
    </row>
    <row r="32" spans="3:18" x14ac:dyDescent="0.25">
      <c r="F32" s="68" t="s">
        <v>66</v>
      </c>
      <c r="G32" s="72">
        <v>54.43</v>
      </c>
      <c r="H32" s="73">
        <v>59</v>
      </c>
      <c r="I32" s="74"/>
      <c r="J32" s="68" t="s">
        <v>66</v>
      </c>
      <c r="K32" s="73">
        <v>27</v>
      </c>
      <c r="L32" s="73">
        <v>15</v>
      </c>
      <c r="O32" s="4"/>
      <c r="P32" s="67"/>
      <c r="Q32" s="67"/>
      <c r="R32" s="70"/>
    </row>
    <row r="33" spans="6:18" x14ac:dyDescent="0.25">
      <c r="F33" s="68" t="s">
        <v>67</v>
      </c>
      <c r="G33" s="72">
        <v>67</v>
      </c>
      <c r="H33" s="73">
        <v>62</v>
      </c>
      <c r="I33" s="74"/>
      <c r="J33" s="68" t="s">
        <v>67</v>
      </c>
      <c r="K33" s="73">
        <v>20</v>
      </c>
      <c r="L33" s="73">
        <v>13</v>
      </c>
      <c r="O33" s="4"/>
      <c r="P33" s="67"/>
      <c r="Q33" s="67"/>
      <c r="R33" s="70"/>
    </row>
    <row r="34" spans="6:18" x14ac:dyDescent="0.25">
      <c r="O34" s="4"/>
      <c r="P34" s="67"/>
      <c r="Q34" s="67"/>
      <c r="R34" s="70"/>
    </row>
    <row r="35" spans="6:18" x14ac:dyDescent="0.25">
      <c r="F35" t="s">
        <v>80</v>
      </c>
      <c r="O35" s="4"/>
      <c r="P35" s="67"/>
      <c r="Q35" s="67"/>
      <c r="R35" s="70"/>
    </row>
    <row r="36" spans="6:18" x14ac:dyDescent="0.25">
      <c r="F36" t="s">
        <v>78</v>
      </c>
    </row>
    <row r="37" spans="6:18" x14ac:dyDescent="0.25">
      <c r="F37" t="s">
        <v>77</v>
      </c>
    </row>
    <row r="38" spans="6:18" x14ac:dyDescent="0.25">
      <c r="F38" t="s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3"/>
  <dimension ref="B2:K75"/>
  <sheetViews>
    <sheetView topLeftCell="A73" zoomScale="70" zoomScaleNormal="70" workbookViewId="0">
      <selection activeCell="Z61" sqref="Z61"/>
    </sheetView>
  </sheetViews>
  <sheetFormatPr defaultRowHeight="15" x14ac:dyDescent="0.25"/>
  <sheetData>
    <row r="2" spans="2:11" x14ac:dyDescent="0.25">
      <c r="C2" t="s">
        <v>4</v>
      </c>
      <c r="D2" t="s">
        <v>5</v>
      </c>
      <c r="E2" t="s">
        <v>6</v>
      </c>
    </row>
    <row r="3" spans="2:11" x14ac:dyDescent="0.25">
      <c r="B3" t="s">
        <v>7</v>
      </c>
      <c r="C3">
        <f>HEX2DEC(LEFT(B3,2))</f>
        <v>0</v>
      </c>
      <c r="D3">
        <f>HEX2DEC(MID(B3,3,2))</f>
        <v>66</v>
      </c>
      <c r="E3">
        <f>HEX2DEC(RIGHT(B3,2))</f>
        <v>157</v>
      </c>
      <c r="F3" s="5" t="str" cm="1">
        <f t="array" ref="F3">myRGB(C3,D3,E3)</f>
        <v/>
      </c>
      <c r="G3">
        <v>1</v>
      </c>
      <c r="K3" t="s">
        <v>16</v>
      </c>
    </row>
    <row r="4" spans="2:11" x14ac:dyDescent="0.25">
      <c r="B4" t="s">
        <v>8</v>
      </c>
      <c r="C4">
        <f>HEX2DEC(LEFT(B4,2))</f>
        <v>62</v>
      </c>
      <c r="D4">
        <f>HEX2DEC(MID(B4,3,2))</f>
        <v>103</v>
      </c>
      <c r="E4">
        <f>HEX2DEC(RIGHT(B4,2))</f>
        <v>174</v>
      </c>
      <c r="F4" s="13" t="str" cm="1">
        <f t="array" ref="F4">myRGB(C4,D4,E4)</f>
        <v/>
      </c>
      <c r="G4">
        <v>2</v>
      </c>
      <c r="K4" t="s">
        <v>15</v>
      </c>
    </row>
    <row r="5" spans="2:11" x14ac:dyDescent="0.25">
      <c r="B5" t="s">
        <v>9</v>
      </c>
      <c r="C5">
        <f t="shared" ref="C5:C12" si="0">HEX2DEC(LEFT(B5,2))</f>
        <v>97</v>
      </c>
      <c r="D5">
        <f t="shared" ref="D5:D12" si="1">HEX2DEC(MID(B5,3,2))</f>
        <v>143</v>
      </c>
      <c r="E5">
        <f t="shared" ref="E5:E12" si="2">HEX2DEC(RIGHT(B5,2))</f>
        <v>191</v>
      </c>
      <c r="F5" s="11" t="str" cm="1">
        <f t="array" ref="F5">myRGB(C5,D5,E5)</f>
        <v/>
      </c>
      <c r="G5">
        <v>3</v>
      </c>
      <c r="K5" t="s">
        <v>14</v>
      </c>
    </row>
    <row r="6" spans="2:11" x14ac:dyDescent="0.25">
      <c r="B6" t="s">
        <v>10</v>
      </c>
      <c r="C6">
        <f t="shared" si="0"/>
        <v>133</v>
      </c>
      <c r="D6">
        <f t="shared" si="1"/>
        <v>183</v>
      </c>
      <c r="E6">
        <f t="shared" si="2"/>
        <v>206</v>
      </c>
      <c r="F6" s="6" t="str" cm="1">
        <f t="array" ref="F6">myRGB(C6,D6,E6)</f>
        <v/>
      </c>
      <c r="G6">
        <v>4</v>
      </c>
      <c r="K6" t="s">
        <v>13</v>
      </c>
    </row>
    <row r="7" spans="2:11" x14ac:dyDescent="0.25">
      <c r="B7" t="s">
        <v>11</v>
      </c>
      <c r="C7">
        <f t="shared" si="0"/>
        <v>177</v>
      </c>
      <c r="D7">
        <f t="shared" si="1"/>
        <v>223</v>
      </c>
      <c r="E7">
        <f t="shared" si="2"/>
        <v>219</v>
      </c>
      <c r="F7" s="14" t="str" cm="1">
        <f t="array" ref="F7">myRGB(C7,D7,E7)</f>
        <v/>
      </c>
      <c r="G7">
        <v>5</v>
      </c>
      <c r="K7" t="s">
        <v>12</v>
      </c>
    </row>
    <row r="8" spans="2:11" x14ac:dyDescent="0.25">
      <c r="B8" t="s">
        <v>12</v>
      </c>
      <c r="C8">
        <f t="shared" si="0"/>
        <v>255</v>
      </c>
      <c r="D8">
        <f t="shared" si="1"/>
        <v>202</v>
      </c>
      <c r="E8">
        <f t="shared" si="2"/>
        <v>185</v>
      </c>
      <c r="F8" s="12" t="str" cm="1">
        <f t="array" ref="F8">myRGB(C8,D8,E8)</f>
        <v/>
      </c>
      <c r="G8">
        <v>6</v>
      </c>
      <c r="K8" t="s">
        <v>11</v>
      </c>
    </row>
    <row r="9" spans="2:11" x14ac:dyDescent="0.25">
      <c r="B9" t="s">
        <v>13</v>
      </c>
      <c r="C9">
        <f t="shared" si="0"/>
        <v>253</v>
      </c>
      <c r="D9">
        <f t="shared" si="1"/>
        <v>146</v>
      </c>
      <c r="E9">
        <f t="shared" si="2"/>
        <v>145</v>
      </c>
      <c r="F9" s="10" t="str" cm="1">
        <f t="array" ref="F9">myRGB(C9,D9,E9)</f>
        <v/>
      </c>
      <c r="G9">
        <v>7</v>
      </c>
      <c r="K9" t="s">
        <v>10</v>
      </c>
    </row>
    <row r="10" spans="2:11" x14ac:dyDescent="0.25">
      <c r="B10" t="s">
        <v>14</v>
      </c>
      <c r="C10">
        <f t="shared" si="0"/>
        <v>231</v>
      </c>
      <c r="D10">
        <f t="shared" si="1"/>
        <v>93</v>
      </c>
      <c r="E10">
        <f t="shared" si="2"/>
        <v>111</v>
      </c>
      <c r="F10" s="7" t="str" cm="1">
        <f t="array" ref="F10">myRGB(C10,D10,E10)</f>
        <v/>
      </c>
      <c r="G10">
        <v>8</v>
      </c>
      <c r="K10" t="s">
        <v>9</v>
      </c>
    </row>
    <row r="11" spans="2:11" x14ac:dyDescent="0.25">
      <c r="B11" t="s">
        <v>15</v>
      </c>
      <c r="C11">
        <f t="shared" si="0"/>
        <v>197</v>
      </c>
      <c r="D11">
        <f t="shared" si="1"/>
        <v>42</v>
      </c>
      <c r="E11">
        <f t="shared" si="2"/>
        <v>82</v>
      </c>
      <c r="F11" s="9" t="str" cm="1">
        <f t="array" ref="F11">myRGB(C11,D11,E11)</f>
        <v/>
      </c>
      <c r="G11">
        <v>9</v>
      </c>
      <c r="K11" t="s">
        <v>8</v>
      </c>
    </row>
    <row r="12" spans="2:11" x14ac:dyDescent="0.25">
      <c r="B12" t="s">
        <v>16</v>
      </c>
      <c r="C12">
        <f t="shared" si="0"/>
        <v>147</v>
      </c>
      <c r="D12">
        <f t="shared" si="1"/>
        <v>0</v>
      </c>
      <c r="E12">
        <f t="shared" si="2"/>
        <v>58</v>
      </c>
      <c r="F12" s="8" t="str" cm="1">
        <f t="array" ref="F12">myRGB(C12,D12,E12)</f>
        <v/>
      </c>
      <c r="G12">
        <v>10</v>
      </c>
      <c r="K12" t="s">
        <v>7</v>
      </c>
    </row>
    <row r="14" spans="2:11" x14ac:dyDescent="0.25">
      <c r="C14" t="s">
        <v>4</v>
      </c>
      <c r="D14" t="s">
        <v>5</v>
      </c>
      <c r="E14" t="s">
        <v>6</v>
      </c>
    </row>
    <row r="15" spans="2:11" x14ac:dyDescent="0.25">
      <c r="B15" s="15">
        <v>332658</v>
      </c>
      <c r="C15">
        <f>HEX2DEC(LEFT(B15,2))</f>
        <v>51</v>
      </c>
      <c r="D15">
        <f>HEX2DEC(MID(B15,3,2))</f>
        <v>38</v>
      </c>
      <c r="E15">
        <f>HEX2DEC(RIGHT(B15,2))</f>
        <v>88</v>
      </c>
      <c r="F15" s="23" t="str" cm="1">
        <f t="array" ref="F15">myRGB(C15,D15,E15)</f>
        <v/>
      </c>
      <c r="G15">
        <v>10</v>
      </c>
    </row>
    <row r="16" spans="2:11" x14ac:dyDescent="0.25">
      <c r="B16" s="15" t="s">
        <v>17</v>
      </c>
      <c r="C16">
        <f>HEX2DEC(LEFT(B16,2))</f>
        <v>89</v>
      </c>
      <c r="D16">
        <f>HEX2DEC(MID(B16,3,2))</f>
        <v>73</v>
      </c>
      <c r="E16">
        <f>HEX2DEC(RIGHT(B16,2))</f>
        <v>126</v>
      </c>
      <c r="F16" s="17" t="str" cm="1">
        <f t="array" ref="F16">myRGB(C16,D16,E16)</f>
        <v/>
      </c>
      <c r="G16">
        <v>9</v>
      </c>
    </row>
    <row r="17" spans="2:7" x14ac:dyDescent="0.25">
      <c r="B17" s="15" t="s">
        <v>18</v>
      </c>
      <c r="C17">
        <f t="shared" ref="C17:C24" si="3">HEX2DEC(LEFT(B17,2))</f>
        <v>128</v>
      </c>
      <c r="D17">
        <f t="shared" ref="D17:D24" si="4">HEX2DEC(MID(B17,3,2))</f>
        <v>110</v>
      </c>
      <c r="E17">
        <f t="shared" ref="E17:E24" si="5">HEX2DEC(RIGHT(B17,2))</f>
        <v>167</v>
      </c>
      <c r="F17" s="21" t="str" cm="1">
        <f t="array" ref="F17">myRGB(C17,D17,E17)</f>
        <v/>
      </c>
      <c r="G17">
        <v>8</v>
      </c>
    </row>
    <row r="18" spans="2:7" x14ac:dyDescent="0.25">
      <c r="B18" s="15" t="s">
        <v>19</v>
      </c>
      <c r="C18">
        <f t="shared" si="3"/>
        <v>170</v>
      </c>
      <c r="D18">
        <f t="shared" si="4"/>
        <v>150</v>
      </c>
      <c r="E18">
        <f t="shared" si="5"/>
        <v>209</v>
      </c>
      <c r="F18" s="24" t="str" cm="1">
        <f t="array" ref="F18">myRGB(C18,D18,E18)</f>
        <v/>
      </c>
      <c r="G18">
        <v>7</v>
      </c>
    </row>
    <row r="19" spans="2:7" x14ac:dyDescent="0.25">
      <c r="B19" s="15" t="s">
        <v>20</v>
      </c>
      <c r="C19">
        <f t="shared" si="3"/>
        <v>213</v>
      </c>
      <c r="D19">
        <f t="shared" si="4"/>
        <v>191</v>
      </c>
      <c r="E19">
        <f t="shared" si="5"/>
        <v>253</v>
      </c>
      <c r="F19" s="18" t="str" cm="1">
        <f t="array" ref="F19">myRGB(C19,D19,E19)</f>
        <v/>
      </c>
      <c r="G19">
        <v>6</v>
      </c>
    </row>
    <row r="20" spans="2:7" x14ac:dyDescent="0.25">
      <c r="B20" s="15" t="s">
        <v>21</v>
      </c>
      <c r="C20">
        <f t="shared" si="3"/>
        <v>252</v>
      </c>
      <c r="D20">
        <f t="shared" si="4"/>
        <v>189</v>
      </c>
      <c r="E20">
        <f t="shared" si="5"/>
        <v>158</v>
      </c>
      <c r="F20" s="20" t="str" cm="1">
        <f t="array" ref="F20">myRGB(C20,D20,E20)</f>
        <v/>
      </c>
      <c r="G20">
        <v>5</v>
      </c>
    </row>
    <row r="21" spans="2:7" x14ac:dyDescent="0.25">
      <c r="B21" s="15" t="s">
        <v>22</v>
      </c>
      <c r="C21">
        <f t="shared" si="3"/>
        <v>238</v>
      </c>
      <c r="D21">
        <f t="shared" si="4"/>
        <v>134</v>
      </c>
      <c r="E21">
        <f t="shared" si="5"/>
        <v>91</v>
      </c>
      <c r="F21" s="16" t="str" cm="1">
        <f t="array" ref="F21">myRGB(C21,D21,E21)</f>
        <v/>
      </c>
      <c r="G21">
        <v>4</v>
      </c>
    </row>
    <row r="22" spans="2:7" x14ac:dyDescent="0.25">
      <c r="B22" s="15" t="s">
        <v>23</v>
      </c>
      <c r="C22">
        <f t="shared" si="3"/>
        <v>207</v>
      </c>
      <c r="D22">
        <f t="shared" si="4"/>
        <v>83</v>
      </c>
      <c r="E22">
        <f t="shared" si="5"/>
        <v>45</v>
      </c>
      <c r="F22" s="19" t="str" cm="1">
        <f t="array" ref="F22">myRGB(C22,D22,E22)</f>
        <v/>
      </c>
      <c r="G22">
        <v>3</v>
      </c>
    </row>
    <row r="23" spans="2:7" x14ac:dyDescent="0.25">
      <c r="B23" s="15" t="s">
        <v>24</v>
      </c>
      <c r="C23">
        <f t="shared" si="3"/>
        <v>160</v>
      </c>
      <c r="D23">
        <f t="shared" si="4"/>
        <v>42</v>
      </c>
      <c r="E23">
        <f t="shared" si="5"/>
        <v>22</v>
      </c>
      <c r="F23" s="22" t="str" cm="1">
        <f t="array" ref="F23">myRGB(C23,D23,E23)</f>
        <v/>
      </c>
      <c r="G23">
        <v>2</v>
      </c>
    </row>
    <row r="24" spans="2:7" x14ac:dyDescent="0.25">
      <c r="B24" s="25" t="s">
        <v>25</v>
      </c>
      <c r="C24">
        <f t="shared" si="3"/>
        <v>110</v>
      </c>
      <c r="D24">
        <f t="shared" si="4"/>
        <v>0</v>
      </c>
      <c r="E24">
        <f t="shared" si="5"/>
        <v>0</v>
      </c>
      <c r="F24" s="26" t="str" cm="1">
        <f t="array" ref="F24">myRGB(C24,D24,E24)</f>
        <v/>
      </c>
      <c r="G24">
        <v>1</v>
      </c>
    </row>
    <row r="26" spans="2:7" x14ac:dyDescent="0.25">
      <c r="B26" s="15">
        <v>332658</v>
      </c>
      <c r="C26">
        <f>HEX2DEC(LEFT(B26,2))</f>
        <v>51</v>
      </c>
      <c r="D26">
        <f>HEX2DEC(MID(B26,3,2))</f>
        <v>38</v>
      </c>
      <c r="E26">
        <f>HEX2DEC(RIGHT(B26,2))</f>
        <v>88</v>
      </c>
      <c r="F26" s="23" t="str" cm="1">
        <f t="array" ref="F26">myRGB(C26,D26,E26)</f>
        <v/>
      </c>
    </row>
    <row r="27" spans="2:7" x14ac:dyDescent="0.25">
      <c r="B27" t="s">
        <v>26</v>
      </c>
      <c r="C27">
        <f t="shared" ref="C27:C34" si="6">HEX2DEC(LEFT(B27,2))</f>
        <v>198</v>
      </c>
      <c r="D27">
        <f>HEX2DEC(MID(B27,3,2))</f>
        <v>198</v>
      </c>
      <c r="E27">
        <f>HEX2DEC(RIGHT(B27,2))</f>
        <v>198</v>
      </c>
      <c r="F27" s="29" t="str" cm="1">
        <f t="array" ref="F27">myRGB(C27,D27,E27)</f>
        <v/>
      </c>
    </row>
    <row r="28" spans="2:7" x14ac:dyDescent="0.25">
      <c r="B28" s="25" t="s">
        <v>25</v>
      </c>
      <c r="C28">
        <f t="shared" si="6"/>
        <v>110</v>
      </c>
      <c r="D28">
        <f>HEX2DEC(MID(B28,3,2))</f>
        <v>0</v>
      </c>
      <c r="E28">
        <f>HEX2DEC(RIGHT(B28,2))</f>
        <v>0</v>
      </c>
      <c r="F28" s="26" t="str" cm="1">
        <f t="array" ref="F28">myRGB(C28,D28,E28)</f>
        <v/>
      </c>
    </row>
    <row r="30" spans="2:7" x14ac:dyDescent="0.25">
      <c r="B30" s="30" t="s">
        <v>31</v>
      </c>
      <c r="C30">
        <f t="shared" si="6"/>
        <v>17</v>
      </c>
      <c r="D30">
        <f>HEX2DEC(MID(B30,3,2))</f>
        <v>1</v>
      </c>
      <c r="E30">
        <f>HEX2DEC(RIGHT(B30,2))</f>
        <v>51</v>
      </c>
      <c r="F30" s="31" t="str" cm="1">
        <f t="array" ref="F30">myRGB(C30,D30,E30)</f>
        <v/>
      </c>
    </row>
    <row r="31" spans="2:7" x14ac:dyDescent="0.25">
      <c r="B31" s="30" t="s">
        <v>27</v>
      </c>
      <c r="C31">
        <f t="shared" si="6"/>
        <v>0</v>
      </c>
      <c r="D31">
        <f>HEX2DEC(MID(B31,3,2))</f>
        <v>145</v>
      </c>
      <c r="E31">
        <f>HEX2DEC(RIGHT(B31,2))</f>
        <v>142</v>
      </c>
      <c r="F31" s="32" t="str" cm="1">
        <f t="array" ref="F31">myRGB(C31,D31,E31)</f>
        <v/>
      </c>
    </row>
    <row r="32" spans="2:7" x14ac:dyDescent="0.25">
      <c r="B32" t="s">
        <v>28</v>
      </c>
      <c r="C32">
        <f t="shared" si="6"/>
        <v>77</v>
      </c>
      <c r="D32">
        <f>HEX2DEC(MID(B32,3,2))</f>
        <v>213</v>
      </c>
      <c r="E32">
        <f>HEX2DEC(RIGHT(B32,2))</f>
        <v>153</v>
      </c>
      <c r="F32" s="33" t="str" cm="1">
        <f t="array" ref="F32">myRGB(C32,D32,E32)</f>
        <v/>
      </c>
    </row>
    <row r="33" spans="2:6" x14ac:dyDescent="0.25">
      <c r="B33" t="s">
        <v>29</v>
      </c>
      <c r="C33">
        <f t="shared" si="6"/>
        <v>233</v>
      </c>
      <c r="D33">
        <f>HEX2DEC(MID(B33,3,2))</f>
        <v>92</v>
      </c>
      <c r="E33">
        <f>HEX2DEC(RIGHT(B33,2))</f>
        <v>58</v>
      </c>
      <c r="F33" s="34" t="str" cm="1">
        <f t="array" ref="F33">myRGB(C33,D33,E33)</f>
        <v/>
      </c>
    </row>
    <row r="34" spans="2:6" x14ac:dyDescent="0.25">
      <c r="B34" t="s">
        <v>30</v>
      </c>
      <c r="C34">
        <f t="shared" si="6"/>
        <v>255</v>
      </c>
      <c r="D34">
        <f>HEX2DEC(MID(B34,3,2))</f>
        <v>220</v>
      </c>
      <c r="E34">
        <f>HEX2DEC(RIGHT(B34,2))</f>
        <v>52</v>
      </c>
      <c r="F34" s="35" t="str" cm="1">
        <f t="array" ref="F34">myRGB(C34,D34,E34)</f>
        <v/>
      </c>
    </row>
    <row r="37" spans="2:6" x14ac:dyDescent="0.25">
      <c r="B37" t="s">
        <v>32</v>
      </c>
      <c r="C37">
        <f>HEX2DEC(LEFT(B37,2))</f>
        <v>127</v>
      </c>
      <c r="D37">
        <f>HEX2DEC(MID(B37,3,2))</f>
        <v>169</v>
      </c>
      <c r="E37">
        <f>HEX2DEC(RIGHT(B37,2))</f>
        <v>152</v>
      </c>
      <c r="F37" s="36" t="str" cm="1">
        <f t="array" ref="F37">myRGB(C37,D37,E37)</f>
        <v/>
      </c>
    </row>
    <row r="38" spans="2:6" x14ac:dyDescent="0.25">
      <c r="B38" t="s">
        <v>33</v>
      </c>
      <c r="C38">
        <f>HEX2DEC(LEFT(B38,2))</f>
        <v>241</v>
      </c>
      <c r="D38">
        <f>HEX2DEC(MID(B38,3,2))</f>
        <v>241</v>
      </c>
      <c r="E38">
        <f>HEX2DEC(RIGHT(B38,2))</f>
        <v>176</v>
      </c>
      <c r="F38" s="37" t="str" cm="1">
        <f t="array" ref="F38">myRGB(C38,D38,E38)</f>
        <v/>
      </c>
    </row>
    <row r="39" spans="2:6" x14ac:dyDescent="0.25">
      <c r="B39" t="s">
        <v>34</v>
      </c>
      <c r="C39">
        <f>HEX2DEC(LEFT(B39,2))</f>
        <v>223</v>
      </c>
      <c r="D39">
        <f>HEX2DEC(MID(B39,3,2))</f>
        <v>133</v>
      </c>
      <c r="E39">
        <f>HEX2DEC(RIGHT(B39,2))</f>
        <v>67</v>
      </c>
      <c r="F39" s="39" t="str" cm="1">
        <f t="array" ref="F39">myRGB(C39,D39,E39)</f>
        <v/>
      </c>
    </row>
    <row r="40" spans="2:6" x14ac:dyDescent="0.25">
      <c r="B40" t="s">
        <v>35</v>
      </c>
      <c r="C40">
        <f>HEX2DEC(LEFT(B40,2))</f>
        <v>157</v>
      </c>
      <c r="D40">
        <f>HEX2DEC(MID(B40,3,2))</f>
        <v>37</v>
      </c>
      <c r="E40">
        <f>HEX2DEC(RIGHT(B40,2))</f>
        <v>3</v>
      </c>
      <c r="F40" s="40" t="str" cm="1">
        <f t="array" ref="F40">myRGB(C40,D40,E40)</f>
        <v/>
      </c>
    </row>
    <row r="41" spans="2:6" x14ac:dyDescent="0.25">
      <c r="B41" s="30" t="s">
        <v>36</v>
      </c>
      <c r="C41">
        <f>HEX2DEC(LEFT(B41,2))</f>
        <v>113</v>
      </c>
      <c r="D41">
        <f>HEX2DEC(MID(B41,3,2))</f>
        <v>149</v>
      </c>
      <c r="E41">
        <f>HEX2DEC(RIGHT(B41,2))</f>
        <v>102</v>
      </c>
      <c r="F41" s="38" t="str" cm="1">
        <f t="array" ref="F41">myRGB(C41,D41,E41)</f>
        <v/>
      </c>
    </row>
    <row r="43" spans="2:6" x14ac:dyDescent="0.25">
      <c r="B43" t="s">
        <v>35</v>
      </c>
      <c r="C43">
        <f t="shared" ref="C43:C52" si="7">HEX2DEC(LEFT(B43,2))</f>
        <v>157</v>
      </c>
      <c r="D43">
        <f t="shared" ref="D43:D52" si="8">HEX2DEC(MID(B43,3,2))</f>
        <v>37</v>
      </c>
      <c r="E43">
        <f t="shared" ref="E43:E52" si="9">HEX2DEC(RIGHT(B43,2))</f>
        <v>3</v>
      </c>
      <c r="F43" s="40" t="str" cm="1">
        <f t="array" ref="F43">myRGB(C43,D43,E43)</f>
        <v/>
      </c>
    </row>
    <row r="44" spans="2:6" x14ac:dyDescent="0.25">
      <c r="B44" t="s">
        <v>41</v>
      </c>
      <c r="C44">
        <f t="shared" si="7"/>
        <v>181</v>
      </c>
      <c r="D44">
        <f t="shared" si="8"/>
        <v>79</v>
      </c>
      <c r="E44">
        <f t="shared" si="9"/>
        <v>47</v>
      </c>
      <c r="F44" s="45" t="str" cm="1">
        <f t="array" ref="F44">myRGB(C44,D44,E44)</f>
        <v/>
      </c>
    </row>
    <row r="45" spans="2:6" x14ac:dyDescent="0.25">
      <c r="B45" t="s">
        <v>42</v>
      </c>
      <c r="C45">
        <f t="shared" si="7"/>
        <v>203</v>
      </c>
      <c r="D45">
        <f t="shared" si="8"/>
        <v>116</v>
      </c>
      <c r="E45">
        <f t="shared" si="9"/>
        <v>88</v>
      </c>
      <c r="F45" s="46" t="str" cm="1">
        <f t="array" ref="F45">myRGB(C45,D45,E45)</f>
        <v/>
      </c>
    </row>
    <row r="46" spans="2:6" x14ac:dyDescent="0.25">
      <c r="B46" t="s">
        <v>43</v>
      </c>
      <c r="C46">
        <f t="shared" si="7"/>
        <v>221</v>
      </c>
      <c r="D46">
        <f t="shared" si="8"/>
        <v>153</v>
      </c>
      <c r="E46">
        <f t="shared" si="9"/>
        <v>131</v>
      </c>
      <c r="F46" s="47" t="str" cm="1">
        <f t="array" ref="F46">myRGB(C46,D46,E46)</f>
        <v/>
      </c>
    </row>
    <row r="47" spans="2:6" x14ac:dyDescent="0.25">
      <c r="B47" t="s">
        <v>44</v>
      </c>
      <c r="C47">
        <f t="shared" si="7"/>
        <v>237</v>
      </c>
      <c r="D47">
        <f t="shared" si="8"/>
        <v>191</v>
      </c>
      <c r="E47">
        <f t="shared" si="9"/>
        <v>176</v>
      </c>
      <c r="F47" s="48" t="str" cm="1">
        <f t="array" ref="F47">myRGB(C47,D47,E47)</f>
        <v/>
      </c>
    </row>
    <row r="49" spans="2:11" x14ac:dyDescent="0.25">
      <c r="B49" t="s">
        <v>37</v>
      </c>
      <c r="C49">
        <f t="shared" si="7"/>
        <v>63</v>
      </c>
      <c r="D49">
        <f t="shared" si="8"/>
        <v>77</v>
      </c>
      <c r="E49">
        <f t="shared" si="9"/>
        <v>113</v>
      </c>
      <c r="F49" s="41" t="str" cm="1">
        <f t="array" ref="F49">myRGB(C49,D49,E49)</f>
        <v/>
      </c>
    </row>
    <row r="50" spans="2:11" x14ac:dyDescent="0.25">
      <c r="B50" t="s">
        <v>38</v>
      </c>
      <c r="C50">
        <f t="shared" si="7"/>
        <v>85</v>
      </c>
      <c r="D50">
        <f t="shared" si="8"/>
        <v>174</v>
      </c>
      <c r="E50">
        <f t="shared" si="9"/>
        <v>149</v>
      </c>
      <c r="F50" s="43" t="str" cm="1">
        <f t="array" ref="F50">myRGB(C50,D50,E50)</f>
        <v/>
      </c>
    </row>
    <row r="51" spans="2:11" x14ac:dyDescent="0.25">
      <c r="B51" t="s">
        <v>39</v>
      </c>
      <c r="C51">
        <f t="shared" si="7"/>
        <v>127</v>
      </c>
      <c r="D51">
        <f t="shared" si="8"/>
        <v>127</v>
      </c>
      <c r="E51">
        <f t="shared" si="9"/>
        <v>127</v>
      </c>
      <c r="F51" s="44" t="str" cm="1">
        <f t="array" ref="F51">myRGB(C51,D51,E51)</f>
        <v/>
      </c>
    </row>
    <row r="52" spans="2:11" x14ac:dyDescent="0.25">
      <c r="B52" t="s">
        <v>40</v>
      </c>
      <c r="C52">
        <f t="shared" si="7"/>
        <v>13</v>
      </c>
      <c r="D52">
        <f t="shared" si="8"/>
        <v>13</v>
      </c>
      <c r="E52">
        <f t="shared" si="9"/>
        <v>13</v>
      </c>
      <c r="F52" s="42" t="str" cm="1">
        <f t="array" ref="F52">myRGB(C52,D52,E52)</f>
        <v/>
      </c>
    </row>
    <row r="54" spans="2:11" x14ac:dyDescent="0.25">
      <c r="B54" t="s">
        <v>35</v>
      </c>
      <c r="C54">
        <f t="shared" ref="C54:C57" si="10">HEX2DEC(LEFT(B54,2))</f>
        <v>157</v>
      </c>
      <c r="D54">
        <f t="shared" ref="D54:D57" si="11">HEX2DEC(MID(B54,3,2))</f>
        <v>37</v>
      </c>
      <c r="E54">
        <f t="shared" ref="E54:E57" si="12">HEX2DEC(RIGHT(B54,2))</f>
        <v>3</v>
      </c>
      <c r="F54" s="40" t="str" cm="1">
        <f t="array" ref="F54">myRGB(C54,D54,E54)</f>
        <v/>
      </c>
    </row>
    <row r="55" spans="2:11" x14ac:dyDescent="0.25">
      <c r="B55" t="s">
        <v>45</v>
      </c>
      <c r="C55">
        <f t="shared" si="10"/>
        <v>203</v>
      </c>
      <c r="D55">
        <f t="shared" si="11"/>
        <v>142</v>
      </c>
      <c r="E55">
        <f t="shared" si="12"/>
        <v>48</v>
      </c>
      <c r="F55" s="50" t="str" cm="1">
        <f t="array" ref="F55">myRGB(C55,D55,E55)</f>
        <v/>
      </c>
    </row>
    <row r="56" spans="2:11" x14ac:dyDescent="0.25">
      <c r="B56" t="s">
        <v>46</v>
      </c>
      <c r="C56">
        <f t="shared" si="10"/>
        <v>148</v>
      </c>
      <c r="D56">
        <f t="shared" si="11"/>
        <v>190</v>
      </c>
      <c r="E56">
        <f t="shared" si="12"/>
        <v>135</v>
      </c>
      <c r="F56" s="49" t="str" cm="1">
        <f t="array" ref="F56">myRGB(C56,D56,E56)</f>
        <v/>
      </c>
    </row>
    <row r="57" spans="2:11" x14ac:dyDescent="0.25">
      <c r="B57" t="s">
        <v>32</v>
      </c>
      <c r="C57">
        <f t="shared" si="10"/>
        <v>127</v>
      </c>
      <c r="D57">
        <f t="shared" si="11"/>
        <v>169</v>
      </c>
      <c r="E57">
        <f t="shared" si="12"/>
        <v>152</v>
      </c>
      <c r="F57" s="36" t="str" cm="1">
        <f t="array" ref="F57">myRGB(C57,D57,E57)</f>
        <v/>
      </c>
    </row>
    <row r="59" spans="2:11" x14ac:dyDescent="0.25">
      <c r="B59" s="15" t="s">
        <v>47</v>
      </c>
      <c r="C59">
        <f t="shared" ref="C59:C62" si="13">HEX2DEC(LEFT(B59,2))</f>
        <v>228</v>
      </c>
      <c r="D59">
        <f t="shared" ref="D59:D62" si="14">HEX2DEC(MID(B59,3,2))</f>
        <v>26</v>
      </c>
      <c r="E59">
        <f t="shared" ref="E59:E62" si="15">HEX2DEC(RIGHT(B59,2))</f>
        <v>28</v>
      </c>
      <c r="F59" s="53" t="str" cm="1">
        <f t="array" ref="F59">myRGB(C59,D59,E59)</f>
        <v/>
      </c>
      <c r="G59" t="s">
        <v>51</v>
      </c>
      <c r="H59">
        <f t="shared" ref="H59" si="16">HEX2DEC(LEFT(G59,2))</f>
        <v>253</v>
      </c>
      <c r="I59">
        <f t="shared" ref="I59" si="17">HEX2DEC(MID(G59,3,2))</f>
        <v>152</v>
      </c>
      <c r="J59">
        <f t="shared" ref="J59" si="18">HEX2DEC(RIGHT(G59,2))</f>
        <v>129</v>
      </c>
      <c r="K59" s="55" t="str" cm="1">
        <f t="array" ref="K59">myRGB(H59,I59,J59)</f>
        <v/>
      </c>
    </row>
    <row r="60" spans="2:11" x14ac:dyDescent="0.25">
      <c r="B60" s="15" t="s">
        <v>48</v>
      </c>
      <c r="C60">
        <f t="shared" si="13"/>
        <v>55</v>
      </c>
      <c r="D60">
        <f t="shared" si="14"/>
        <v>126</v>
      </c>
      <c r="E60">
        <f t="shared" si="15"/>
        <v>184</v>
      </c>
      <c r="F60" s="54" t="str" cm="1">
        <f t="array" ref="F60">myRGB(C60,D60,E60)</f>
        <v/>
      </c>
      <c r="G60" t="s">
        <v>52</v>
      </c>
      <c r="H60">
        <f t="shared" ref="H60:H62" si="19">HEX2DEC(LEFT(G60,2))</f>
        <v>146</v>
      </c>
      <c r="I60">
        <f t="shared" ref="I60:I62" si="20">HEX2DEC(MID(G60,3,2))</f>
        <v>187</v>
      </c>
      <c r="J60">
        <f t="shared" ref="J60:J62" si="21">HEX2DEC(RIGHT(G60,2))</f>
        <v>226</v>
      </c>
      <c r="K60" s="57" t="str" cm="1">
        <f t="array" ref="K60">myRGB(H60,I60,J60)</f>
        <v/>
      </c>
    </row>
    <row r="61" spans="2:11" x14ac:dyDescent="0.25">
      <c r="B61" s="15" t="s">
        <v>49</v>
      </c>
      <c r="C61">
        <f t="shared" si="13"/>
        <v>77</v>
      </c>
      <c r="D61">
        <f t="shared" si="14"/>
        <v>175</v>
      </c>
      <c r="E61">
        <f t="shared" si="15"/>
        <v>74</v>
      </c>
      <c r="F61" s="52" t="str" cm="1">
        <f t="array" ref="F61">myRGB(C61,D61,E61)</f>
        <v/>
      </c>
      <c r="G61" t="s">
        <v>53</v>
      </c>
      <c r="H61">
        <f t="shared" si="19"/>
        <v>158</v>
      </c>
      <c r="I61">
        <f t="shared" si="20"/>
        <v>211</v>
      </c>
      <c r="J61">
        <f t="shared" si="21"/>
        <v>150</v>
      </c>
      <c r="K61" s="56" t="str" cm="1">
        <f t="array" ref="K61">myRGB(H61,I61,J61)</f>
        <v/>
      </c>
    </row>
    <row r="62" spans="2:11" x14ac:dyDescent="0.25">
      <c r="B62" s="15" t="s">
        <v>50</v>
      </c>
      <c r="C62">
        <f t="shared" si="13"/>
        <v>152</v>
      </c>
      <c r="D62">
        <f t="shared" si="14"/>
        <v>78</v>
      </c>
      <c r="E62">
        <f t="shared" si="15"/>
        <v>163</v>
      </c>
      <c r="F62" s="51" t="str" cm="1">
        <f t="array" ref="F62">myRGB(C62,D62,E62)</f>
        <v/>
      </c>
      <c r="G62" t="s">
        <v>54</v>
      </c>
      <c r="H62">
        <f t="shared" si="19"/>
        <v>209</v>
      </c>
      <c r="I62">
        <f t="shared" si="20"/>
        <v>161</v>
      </c>
      <c r="J62">
        <f t="shared" si="21"/>
        <v>215</v>
      </c>
      <c r="K62" s="58" t="str" cm="1">
        <f t="array" ref="K62">myRGB(H62,I62,J62)</f>
        <v/>
      </c>
    </row>
    <row r="64" spans="2:11" x14ac:dyDescent="0.25">
      <c r="B64" s="60" t="s">
        <v>56</v>
      </c>
      <c r="C64">
        <f t="shared" ref="C64:C66" si="22">HEX2DEC(LEFT(B64,2))</f>
        <v>0</v>
      </c>
      <c r="D64">
        <f t="shared" ref="D64:D66" si="23">HEX2DEC(MID(B64,3,2))</f>
        <v>88</v>
      </c>
      <c r="E64">
        <f t="shared" ref="E64:E66" si="24">HEX2DEC(RIGHT(B64,2))</f>
        <v>86</v>
      </c>
      <c r="F64" s="61" t="str" cm="1">
        <f t="array" ref="F64">myRGB(C64,D64,E64)</f>
        <v/>
      </c>
    </row>
    <row r="65" spans="2:6" x14ac:dyDescent="0.25">
      <c r="B65" s="60" t="s">
        <v>57</v>
      </c>
      <c r="C65">
        <f t="shared" si="22"/>
        <v>5</v>
      </c>
      <c r="D65">
        <f t="shared" si="23"/>
        <v>148</v>
      </c>
      <c r="E65">
        <f t="shared" si="24"/>
        <v>145</v>
      </c>
      <c r="F65" s="62" t="str" cm="1">
        <f t="array" ref="F65">myRGB(C65,D65,E65)</f>
        <v/>
      </c>
    </row>
    <row r="66" spans="2:6" x14ac:dyDescent="0.25">
      <c r="B66" s="15" t="s">
        <v>55</v>
      </c>
      <c r="C66">
        <f t="shared" si="22"/>
        <v>98</v>
      </c>
      <c r="D66">
        <f t="shared" si="23"/>
        <v>209</v>
      </c>
      <c r="E66">
        <f t="shared" si="24"/>
        <v>205</v>
      </c>
      <c r="F66" s="59" t="str" cm="1">
        <f t="array" ref="F66">myRGB(C66,D66,E66)</f>
        <v/>
      </c>
    </row>
    <row r="67" spans="2:6" x14ac:dyDescent="0.25">
      <c r="B67" t="s">
        <v>16</v>
      </c>
      <c r="C67">
        <f t="shared" ref="C67" si="25">HEX2DEC(LEFT(B67,2))</f>
        <v>147</v>
      </c>
      <c r="D67">
        <f t="shared" ref="D67" si="26">HEX2DEC(MID(B67,3,2))</f>
        <v>0</v>
      </c>
      <c r="E67">
        <f t="shared" ref="E67" si="27">HEX2DEC(RIGHT(B67,2))</f>
        <v>58</v>
      </c>
      <c r="F67" s="8" t="str" cm="1">
        <f t="array" ref="F67">myRGB(C67,D67,E67)</f>
        <v/>
      </c>
    </row>
    <row r="69" spans="2:6" x14ac:dyDescent="0.25">
      <c r="B69" t="s">
        <v>58</v>
      </c>
      <c r="C69">
        <f t="shared" ref="C69" si="28">HEX2DEC(LEFT(B69,2))</f>
        <v>59</v>
      </c>
      <c r="D69">
        <f t="shared" ref="D69" si="29">HEX2DEC(MID(B69,3,2))</f>
        <v>89</v>
      </c>
      <c r="E69">
        <f t="shared" ref="E69" si="30">HEX2DEC(RIGHT(B69,2))</f>
        <v>152</v>
      </c>
      <c r="F69" s="63" t="str" cm="1">
        <f t="array" ref="F69">myRGB(C69,D69,E69)</f>
        <v/>
      </c>
    </row>
    <row r="71" spans="2:6" x14ac:dyDescent="0.25">
      <c r="B71" s="15" t="s">
        <v>7</v>
      </c>
      <c r="C71">
        <f t="shared" ref="C71:C75" si="31">HEX2DEC(LEFT(B71,2))</f>
        <v>0</v>
      </c>
      <c r="D71">
        <f t="shared" ref="D71:D75" si="32">HEX2DEC(MID(B71,3,2))</f>
        <v>66</v>
      </c>
      <c r="E71">
        <f t="shared" ref="E71:E75" si="33">HEX2DEC(RIGHT(B71,2))</f>
        <v>157</v>
      </c>
      <c r="F71" s="5" t="str" cm="1">
        <f t="array" ref="F71">myRGB(C71,D71,E71)</f>
        <v/>
      </c>
    </row>
    <row r="72" spans="2:6" x14ac:dyDescent="0.25">
      <c r="B72" s="15" t="s">
        <v>59</v>
      </c>
      <c r="C72">
        <f t="shared" si="31"/>
        <v>112</v>
      </c>
      <c r="D72">
        <f t="shared" si="32"/>
        <v>159</v>
      </c>
      <c r="E72">
        <f t="shared" si="33"/>
        <v>194</v>
      </c>
      <c r="F72" s="64" t="str" cm="1">
        <f t="array" ref="F72">myRGB(C72,D72,E72)</f>
        <v/>
      </c>
    </row>
    <row r="73" spans="2:6" x14ac:dyDescent="0.25">
      <c r="B73" s="15" t="s">
        <v>60</v>
      </c>
      <c r="C73">
        <f t="shared" si="31"/>
        <v>244</v>
      </c>
      <c r="D73">
        <f t="shared" si="32"/>
        <v>251</v>
      </c>
      <c r="E73">
        <f t="shared" si="33"/>
        <v>188</v>
      </c>
      <c r="F73" s="65" t="str" cm="1">
        <f t="array" ref="F73">myRGB(C73,D73,E73)</f>
        <v/>
      </c>
    </row>
    <row r="74" spans="2:6" x14ac:dyDescent="0.25">
      <c r="B74" s="15" t="s">
        <v>61</v>
      </c>
      <c r="C74">
        <f t="shared" si="31"/>
        <v>244</v>
      </c>
      <c r="D74">
        <f t="shared" si="32"/>
        <v>119</v>
      </c>
      <c r="E74">
        <f t="shared" si="33"/>
        <v>127</v>
      </c>
      <c r="F74" s="66" t="str" cm="1">
        <f t="array" ref="F74">myRGB(C74,D74,E74)</f>
        <v/>
      </c>
    </row>
    <row r="75" spans="2:6" x14ac:dyDescent="0.25">
      <c r="B75" s="15" t="s">
        <v>16</v>
      </c>
      <c r="C75">
        <f t="shared" si="31"/>
        <v>147</v>
      </c>
      <c r="D75">
        <f t="shared" si="32"/>
        <v>0</v>
      </c>
      <c r="E75">
        <f t="shared" si="33"/>
        <v>58</v>
      </c>
      <c r="F75" s="8" t="str" cm="1">
        <f t="array" ref="F75">myRGB(C75,D75,E75)</f>
        <v/>
      </c>
    </row>
  </sheetData>
  <sortState xmlns:xlrd2="http://schemas.microsoft.com/office/spreadsheetml/2017/richdata2" ref="K3:L12">
    <sortCondition descending="1" ref="L3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385E6D-1199-4311-B167-D555F255D5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32</vt:i4>
      </vt:variant>
    </vt:vector>
  </HeadingPairs>
  <TitlesOfParts>
    <vt:vector size="34" baseType="lpstr">
      <vt:lpstr>Sheet2</vt:lpstr>
      <vt:lpstr>colors</vt:lpstr>
      <vt:lpstr>Chart2</vt:lpstr>
      <vt:lpstr> Buseinss and Marriage 2019 (2</vt:lpstr>
      <vt:lpstr>RATEHAP</vt:lpstr>
      <vt:lpstr>GALLTRU</vt:lpstr>
      <vt:lpstr>FATEINLF</vt:lpstr>
      <vt:lpstr>HLTHRAT</vt:lpstr>
      <vt:lpstr>MARBUS-2019</vt:lpstr>
      <vt:lpstr>BUSIN-DYN</vt:lpstr>
      <vt:lpstr>MARW-DYN</vt:lpstr>
      <vt:lpstr>NEIGHBOR</vt:lpstr>
      <vt:lpstr>ACC</vt:lpstr>
      <vt:lpstr>Children</vt:lpstr>
      <vt:lpstr>GENDER</vt:lpstr>
      <vt:lpstr>GNDPREF</vt:lpstr>
      <vt:lpstr>GETJOBF</vt:lpstr>
      <vt:lpstr>RELSERV</vt:lpstr>
      <vt:lpstr>RELFAST</vt:lpstr>
      <vt:lpstr>RELIMP</vt:lpstr>
      <vt:lpstr>FLMANDSC</vt:lpstr>
      <vt:lpstr>KNOWENG</vt:lpstr>
      <vt:lpstr>KNOWRUS</vt:lpstr>
      <vt:lpstr>WEB</vt:lpstr>
      <vt:lpstr>FRQINTR</vt:lpstr>
      <vt:lpstr>INTA_DYN</vt:lpstr>
      <vt:lpstr>USSRDISS</vt:lpstr>
      <vt:lpstr>USSRAGE</vt:lpstr>
      <vt:lpstr>USSRDGD</vt:lpstr>
      <vt:lpstr>USSRDBD</vt:lpstr>
      <vt:lpstr>IMPISSS-DYN</vt:lpstr>
      <vt:lpstr>TOP3ISS</vt:lpstr>
      <vt:lpstr>Two Chart Sheet_Business</vt:lpstr>
      <vt:lpstr>Two Chart Sheet_Marrying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Sichinava</dc:creator>
  <cp:lastModifiedBy>Ian Goodrich</cp:lastModifiedBy>
  <cp:lastPrinted>2020-01-25T17:03:59Z</cp:lastPrinted>
  <dcterms:created xsi:type="dcterms:W3CDTF">2015-06-05T18:17:20Z</dcterms:created>
  <dcterms:modified xsi:type="dcterms:W3CDTF">2020-08-04T13:26:46Z</dcterms:modified>
</cp:coreProperties>
</file>